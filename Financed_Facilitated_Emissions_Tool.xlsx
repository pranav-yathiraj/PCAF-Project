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Career\PCAF Project\"/>
    </mc:Choice>
  </mc:AlternateContent>
  <xr:revisionPtr revIDLastSave="0" documentId="13_ncr:1_{4CA0FB2D-425F-43D7-BBA5-CF9CE989FF11}" xr6:coauthVersionLast="47" xr6:coauthVersionMax="47" xr10:uidLastSave="{00000000-0000-0000-0000-000000000000}"/>
  <bookViews>
    <workbookView xWindow="28680" yWindow="-3645" windowWidth="38640" windowHeight="21120" xr2:uid="{DA334FDB-723D-4F97-9EBE-FBE3FAAD5F43}"/>
  </bookViews>
  <sheets>
    <sheet name="00_Readme" sheetId="13" r:id="rId1"/>
    <sheet name="01_Executive_Summary" sheetId="16" r:id="rId2"/>
    <sheet name="02_Firm_Parameters" sheetId="5" r:id="rId3"/>
    <sheet name="03_Entity_Master" sheetId="4" r:id="rId4"/>
    <sheet name="04_Legal_Entity_Data" sheetId="9" r:id="rId5"/>
    <sheet name="05_PCAF_Engine" sheetId="12" r:id="rId6"/>
    <sheet name="06_Technical_Appendix" sheetId="10" r:id="rId7"/>
    <sheet name="07_Reconciliation" sheetId="17" r:id="rId8"/>
  </sheets>
  <calcPr calcId="191029"/>
  <pivotCaches>
    <pivotCache cacheId="76"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2" i="16" l="1"/>
  <c r="Q91" i="16"/>
  <c r="Q90" i="16"/>
  <c r="Q89" i="16"/>
  <c r="Q88" i="16"/>
  <c r="Q87" i="16"/>
  <c r="Q86" i="16"/>
  <c r="Q85" i="16"/>
  <c r="Q84" i="16"/>
  <c r="Q83" i="16"/>
  <c r="Q82" i="16"/>
  <c r="P92" i="16"/>
  <c r="N83" i="16"/>
  <c r="N84" i="16"/>
  <c r="N85" i="16"/>
  <c r="N86" i="16"/>
  <c r="N87" i="16"/>
  <c r="N88" i="16"/>
  <c r="N89" i="16"/>
  <c r="N90" i="16"/>
  <c r="N91" i="16"/>
  <c r="N82" i="16"/>
  <c r="Q8" i="16"/>
  <c r="O75" i="16"/>
  <c r="O66" i="16"/>
  <c r="O67" i="16"/>
  <c r="O68" i="16"/>
  <c r="O69" i="16"/>
  <c r="O70" i="16"/>
  <c r="O71" i="16"/>
  <c r="O72" i="16"/>
  <c r="O73" i="16"/>
  <c r="O74" i="16"/>
  <c r="O65" i="16"/>
  <c r="N66" i="16"/>
  <c r="N67" i="16"/>
  <c r="N68" i="16"/>
  <c r="N69" i="16"/>
  <c r="N70" i="16"/>
  <c r="N71" i="16"/>
  <c r="N72" i="16"/>
  <c r="N73" i="16"/>
  <c r="N74" i="16"/>
  <c r="N65" i="16"/>
  <c r="N57" i="16"/>
  <c r="N58" i="16"/>
  <c r="N49" i="16"/>
  <c r="N50" i="16"/>
  <c r="N51" i="16"/>
  <c r="N52" i="16"/>
  <c r="N53" i="16"/>
  <c r="N54" i="16"/>
  <c r="N55" i="16"/>
  <c r="N56" i="16"/>
  <c r="N48" i="16"/>
  <c r="N33" i="16"/>
  <c r="N34" i="16"/>
  <c r="N35" i="16"/>
  <c r="N36" i="16"/>
  <c r="N37" i="16"/>
  <c r="N38" i="16"/>
  <c r="N39" i="16"/>
  <c r="N32" i="16"/>
  <c r="I13" i="10"/>
  <c r="I14" i="10"/>
  <c r="I15" i="10"/>
  <c r="I16" i="10"/>
  <c r="F17" i="10"/>
  <c r="E32" i="12"/>
  <c r="E33" i="12"/>
  <c r="E34" i="12"/>
  <c r="E35" i="12"/>
  <c r="E36" i="12"/>
  <c r="E37" i="12"/>
  <c r="E38" i="12"/>
  <c r="E39" i="12"/>
  <c r="E40" i="12"/>
  <c r="E41" i="12"/>
  <c r="E42" i="12"/>
  <c r="E43" i="12"/>
  <c r="E44" i="12"/>
  <c r="E45" i="12"/>
  <c r="E46" i="12"/>
  <c r="E47" i="12"/>
  <c r="E48" i="12"/>
  <c r="E31" i="12"/>
  <c r="L49" i="12"/>
  <c r="K48" i="12"/>
  <c r="H48" i="12"/>
  <c r="F48" i="12"/>
  <c r="K47" i="12"/>
  <c r="H47" i="12"/>
  <c r="F47" i="12"/>
  <c r="K46" i="12"/>
  <c r="H46" i="12"/>
  <c r="F46" i="12"/>
  <c r="K45" i="12"/>
  <c r="H45" i="12"/>
  <c r="F45" i="12"/>
  <c r="K44" i="12"/>
  <c r="H44" i="12"/>
  <c r="F44" i="12"/>
  <c r="K43" i="12"/>
  <c r="H43" i="12"/>
  <c r="F43" i="12"/>
  <c r="K42" i="12"/>
  <c r="H42" i="12"/>
  <c r="F42" i="12"/>
  <c r="K41" i="12"/>
  <c r="H41" i="12"/>
  <c r="F41" i="12"/>
  <c r="K40" i="12"/>
  <c r="F40" i="12"/>
  <c r="K39" i="12"/>
  <c r="H39" i="12"/>
  <c r="F39" i="12"/>
  <c r="G39" i="12" s="1"/>
  <c r="K38" i="12"/>
  <c r="F38" i="12"/>
  <c r="G38" i="12" s="1"/>
  <c r="K37" i="12"/>
  <c r="F37" i="12"/>
  <c r="K36" i="12"/>
  <c r="H36" i="12"/>
  <c r="F36" i="12"/>
  <c r="G36" i="12"/>
  <c r="K35" i="12"/>
  <c r="H35" i="12"/>
  <c r="F35" i="12"/>
  <c r="K34" i="12"/>
  <c r="F34" i="12"/>
  <c r="K33" i="12"/>
  <c r="H33" i="12"/>
  <c r="F33" i="12"/>
  <c r="K32" i="12"/>
  <c r="H32" i="12"/>
  <c r="F32" i="12"/>
  <c r="G32" i="12" s="1"/>
  <c r="K31" i="12"/>
  <c r="H31" i="12"/>
  <c r="F31" i="12"/>
  <c r="L23" i="12"/>
  <c r="K5" i="12"/>
  <c r="K6" i="12"/>
  <c r="K7" i="12"/>
  <c r="K8" i="12"/>
  <c r="K9" i="12"/>
  <c r="K10" i="12"/>
  <c r="K11" i="12"/>
  <c r="K12" i="12"/>
  <c r="K13" i="12"/>
  <c r="K14" i="12"/>
  <c r="K15" i="12"/>
  <c r="K16" i="12"/>
  <c r="K17" i="12"/>
  <c r="K18" i="12"/>
  <c r="K19" i="12"/>
  <c r="K20" i="12"/>
  <c r="K21" i="12"/>
  <c r="K22" i="12"/>
  <c r="H6" i="12"/>
  <c r="H7" i="12"/>
  <c r="H9" i="12"/>
  <c r="H10" i="12"/>
  <c r="H13" i="12"/>
  <c r="H15" i="12"/>
  <c r="H16" i="12"/>
  <c r="H17" i="12"/>
  <c r="H18" i="12"/>
  <c r="H19" i="12"/>
  <c r="H20" i="12"/>
  <c r="H21" i="12"/>
  <c r="H22" i="12"/>
  <c r="H5" i="12"/>
  <c r="F6" i="12"/>
  <c r="F7" i="12"/>
  <c r="F8" i="12"/>
  <c r="F9" i="12"/>
  <c r="F10" i="12"/>
  <c r="F11" i="12"/>
  <c r="F12" i="12"/>
  <c r="F13" i="12"/>
  <c r="F14" i="12"/>
  <c r="F15" i="12"/>
  <c r="F16" i="12"/>
  <c r="F17" i="12"/>
  <c r="F18" i="12"/>
  <c r="F19" i="12"/>
  <c r="F20" i="12"/>
  <c r="F21" i="12"/>
  <c r="F22" i="12"/>
  <c r="F5" i="12"/>
  <c r="E6" i="12"/>
  <c r="E7" i="12"/>
  <c r="E8" i="12"/>
  <c r="E9" i="12"/>
  <c r="E10" i="12"/>
  <c r="E11" i="12"/>
  <c r="E12" i="12"/>
  <c r="E13" i="12"/>
  <c r="E14" i="12"/>
  <c r="E15" i="12"/>
  <c r="E16" i="12"/>
  <c r="E17" i="12"/>
  <c r="E18" i="12"/>
  <c r="E19" i="12"/>
  <c r="E20" i="12"/>
  <c r="E21" i="12"/>
  <c r="E22" i="12"/>
  <c r="E5" i="12"/>
  <c r="J22" i="9"/>
  <c r="F22" i="9"/>
  <c r="J4" i="10"/>
  <c r="J5" i="10"/>
  <c r="J6" i="10"/>
  <c r="E6" i="10"/>
  <c r="H6" i="10" s="1"/>
  <c r="H12" i="9" s="1"/>
  <c r="H14" i="12" s="1"/>
  <c r="E5" i="10"/>
  <c r="H5" i="10" s="1"/>
  <c r="H14" i="9" s="1"/>
  <c r="H38" i="12" s="1"/>
  <c r="E4" i="10"/>
  <c r="H4" i="10" s="1"/>
  <c r="H15" i="9" s="1"/>
  <c r="H11" i="12" s="1"/>
  <c r="P83" i="16"/>
  <c r="P84" i="16"/>
  <c r="P85" i="16"/>
  <c r="P86" i="16"/>
  <c r="P87" i="16"/>
  <c r="P88" i="16"/>
  <c r="P89" i="16"/>
  <c r="P90" i="16"/>
  <c r="P91" i="16"/>
  <c r="O83" i="16"/>
  <c r="O84" i="16"/>
  <c r="O85" i="16"/>
  <c r="O86" i="16"/>
  <c r="O87" i="16"/>
  <c r="O88" i="16"/>
  <c r="O89" i="16"/>
  <c r="O90" i="16"/>
  <c r="O91" i="16"/>
  <c r="O82" i="16"/>
  <c r="P82" i="16"/>
  <c r="F46" i="16"/>
  <c r="C46" i="16"/>
  <c r="I17" i="10" l="1"/>
  <c r="H18" i="9" s="1"/>
  <c r="H8" i="12" s="1"/>
  <c r="H40" i="12"/>
  <c r="H37" i="12"/>
  <c r="H12" i="12"/>
  <c r="G48" i="12"/>
  <c r="L48" i="12" s="1"/>
  <c r="G46" i="12"/>
  <c r="L46" i="12" s="1"/>
  <c r="G45" i="12"/>
  <c r="I45" i="12" s="1"/>
  <c r="O37" i="16" s="1"/>
  <c r="G33" i="12"/>
  <c r="I33" i="12" s="1"/>
  <c r="O53" i="16" s="1"/>
  <c r="G44" i="12"/>
  <c r="J44" i="12" s="1"/>
  <c r="G41" i="12"/>
  <c r="L41" i="12" s="1"/>
  <c r="G31" i="12"/>
  <c r="I31" i="12" s="1"/>
  <c r="O54" i="16" s="1"/>
  <c r="G40" i="12"/>
  <c r="G43" i="12"/>
  <c r="L43" i="12" s="1"/>
  <c r="G42" i="12"/>
  <c r="L42" i="12" s="1"/>
  <c r="G37" i="12"/>
  <c r="L37" i="12" s="1"/>
  <c r="G34" i="12"/>
  <c r="G35" i="12"/>
  <c r="L35" i="12" s="1"/>
  <c r="G47" i="12"/>
  <c r="J47" i="12" s="1"/>
  <c r="I38" i="12"/>
  <c r="L38" i="12"/>
  <c r="J38" i="12"/>
  <c r="L33" i="12"/>
  <c r="J33" i="12"/>
  <c r="L36" i="12"/>
  <c r="J36" i="12"/>
  <c r="I36" i="12"/>
  <c r="L39" i="12"/>
  <c r="J39" i="12"/>
  <c r="I39" i="12"/>
  <c r="I32" i="12"/>
  <c r="J32" i="12"/>
  <c r="L32" i="12"/>
  <c r="J45" i="12"/>
  <c r="L45" i="12"/>
  <c r="J48" i="12"/>
  <c r="J43" i="12"/>
  <c r="J46" i="12"/>
  <c r="G5" i="12"/>
  <c r="L5" i="12" s="1"/>
  <c r="G11" i="12"/>
  <c r="L11" i="12" s="1"/>
  <c r="G16" i="12"/>
  <c r="L16" i="12" s="1"/>
  <c r="G15" i="12"/>
  <c r="L15" i="12" s="1"/>
  <c r="G19" i="12"/>
  <c r="L19" i="12" s="1"/>
  <c r="G7" i="12"/>
  <c r="L7" i="12" s="1"/>
  <c r="G14" i="12"/>
  <c r="L14" i="12" s="1"/>
  <c r="G12" i="12"/>
  <c r="L12" i="12" s="1"/>
  <c r="G20" i="12"/>
  <c r="L20" i="12" s="1"/>
  <c r="G13" i="12"/>
  <c r="L13" i="12" s="1"/>
  <c r="G22" i="12"/>
  <c r="L22" i="12" s="1"/>
  <c r="G10" i="12"/>
  <c r="L10" i="12" s="1"/>
  <c r="G21" i="12"/>
  <c r="L21" i="12" s="1"/>
  <c r="G9" i="12"/>
  <c r="L9" i="12" s="1"/>
  <c r="G8" i="12"/>
  <c r="L8" i="12" s="1"/>
  <c r="G18" i="12"/>
  <c r="L18" i="12" s="1"/>
  <c r="G6" i="12"/>
  <c r="L6" i="12" s="1"/>
  <c r="G17" i="12"/>
  <c r="L17" i="12" s="1"/>
  <c r="H34" i="12" l="1"/>
  <c r="I34" i="12" s="1"/>
  <c r="H22" i="9"/>
  <c r="O52" i="16"/>
  <c r="I40" i="12"/>
  <c r="I35" i="12"/>
  <c r="J31" i="12"/>
  <c r="J34" i="12"/>
  <c r="I42" i="12"/>
  <c r="O51" i="16" s="1"/>
  <c r="L31" i="12"/>
  <c r="J35" i="12"/>
  <c r="I48" i="12"/>
  <c r="O38" i="16" s="1"/>
  <c r="I46" i="12"/>
  <c r="J42" i="12"/>
  <c r="I37" i="12"/>
  <c r="O50" i="16" s="1"/>
  <c r="I41" i="12"/>
  <c r="O49" i="16" s="1"/>
  <c r="J37" i="12"/>
  <c r="J41" i="12"/>
  <c r="L34" i="12"/>
  <c r="J40" i="12"/>
  <c r="I43" i="12"/>
  <c r="O35" i="16" s="1"/>
  <c r="L40" i="12"/>
  <c r="I47" i="12"/>
  <c r="L47" i="12"/>
  <c r="L44" i="12"/>
  <c r="I44" i="12"/>
  <c r="O36" i="16" s="1"/>
  <c r="J16" i="12"/>
  <c r="J9" i="12"/>
  <c r="J8" i="12"/>
  <c r="J21" i="12"/>
  <c r="J10" i="12"/>
  <c r="J22" i="12"/>
  <c r="J13" i="12"/>
  <c r="J20" i="12"/>
  <c r="J12" i="12"/>
  <c r="J14" i="12"/>
  <c r="J17" i="12"/>
  <c r="J7" i="12"/>
  <c r="J6" i="12"/>
  <c r="J19" i="12"/>
  <c r="J18" i="12"/>
  <c r="J15" i="12"/>
  <c r="I5" i="12"/>
  <c r="J5" i="12"/>
  <c r="I11" i="12"/>
  <c r="J11" i="12"/>
  <c r="I16" i="12"/>
  <c r="I15" i="12"/>
  <c r="I7" i="12"/>
  <c r="I19" i="12"/>
  <c r="I9" i="12"/>
  <c r="I10" i="12"/>
  <c r="I20" i="12"/>
  <c r="P39" i="16" s="1"/>
  <c r="I12" i="12"/>
  <c r="I17" i="12"/>
  <c r="P35" i="16" s="1"/>
  <c r="I21" i="12"/>
  <c r="I22" i="12"/>
  <c r="P38" i="16" s="1"/>
  <c r="I13" i="12"/>
  <c r="I18" i="12"/>
  <c r="P36" i="16" s="1"/>
  <c r="I6" i="12"/>
  <c r="I8" i="12"/>
  <c r="I14" i="12"/>
  <c r="O48" i="16" l="1"/>
  <c r="O57" i="16"/>
  <c r="Q38" i="16"/>
  <c r="R38" i="16" s="1"/>
  <c r="Q36" i="16"/>
  <c r="R36" i="16" s="1"/>
  <c r="R82" i="16"/>
  <c r="S82" i="16" s="1"/>
  <c r="T82" i="16" s="1"/>
  <c r="P48" i="16"/>
  <c r="Q48" i="16" s="1"/>
  <c r="R48" i="16" s="1"/>
  <c r="R87" i="16"/>
  <c r="S87" i="16" s="1"/>
  <c r="T87" i="16" s="1"/>
  <c r="P53" i="16"/>
  <c r="Q53" i="16" s="1"/>
  <c r="R53" i="16" s="1"/>
  <c r="O39" i="16"/>
  <c r="Q39" i="16" s="1"/>
  <c r="R39" i="16" s="1"/>
  <c r="P37" i="16"/>
  <c r="Q37" i="16" s="1"/>
  <c r="R37" i="16" s="1"/>
  <c r="R91" i="16"/>
  <c r="S91" i="16" s="1"/>
  <c r="T91" i="16" s="1"/>
  <c r="P57" i="16"/>
  <c r="R86" i="16"/>
  <c r="S86" i="16" s="1"/>
  <c r="T86" i="16" s="1"/>
  <c r="P52" i="16"/>
  <c r="Q52" i="16" s="1"/>
  <c r="R52" i="16" s="1"/>
  <c r="R83" i="16"/>
  <c r="S83" i="16" s="1"/>
  <c r="T83" i="16" s="1"/>
  <c r="P49" i="16"/>
  <c r="Q49" i="16" s="1"/>
  <c r="R49" i="16" s="1"/>
  <c r="O55" i="16"/>
  <c r="O33" i="16"/>
  <c r="P33" i="16"/>
  <c r="R89" i="16"/>
  <c r="S89" i="16" s="1"/>
  <c r="T89" i="16" s="1"/>
  <c r="P55" i="16"/>
  <c r="R90" i="16"/>
  <c r="S90" i="16" s="1"/>
  <c r="T90" i="16" s="1"/>
  <c r="P56" i="16"/>
  <c r="O56" i="16"/>
  <c r="O32" i="16"/>
  <c r="R85" i="16"/>
  <c r="S85" i="16" s="1"/>
  <c r="T85" i="16" s="1"/>
  <c r="P51" i="16"/>
  <c r="Q51" i="16" s="1"/>
  <c r="R51" i="16" s="1"/>
  <c r="P50" i="16"/>
  <c r="Q50" i="16" s="1"/>
  <c r="R50" i="16" s="1"/>
  <c r="R84" i="16"/>
  <c r="S84" i="16" s="1"/>
  <c r="T84" i="16" s="1"/>
  <c r="Q35" i="16"/>
  <c r="R35" i="16" s="1"/>
  <c r="P54" i="16"/>
  <c r="Q54" i="16" s="1"/>
  <c r="R54" i="16" s="1"/>
  <c r="R88" i="16"/>
  <c r="S88" i="16" s="1"/>
  <c r="T88" i="16" s="1"/>
  <c r="O34" i="16"/>
  <c r="P34" i="16"/>
  <c r="I23" i="12"/>
  <c r="P32" i="16"/>
  <c r="I49" i="12"/>
  <c r="Q34" i="16" l="1"/>
  <c r="R34" i="16" s="1"/>
  <c r="Q57" i="16"/>
  <c r="R57" i="16" s="1"/>
  <c r="Q32" i="16"/>
  <c r="R32" i="16" s="1"/>
  <c r="Q56" i="16"/>
  <c r="R56" i="16" s="1"/>
  <c r="Q33" i="16"/>
  <c r="R33" i="16" s="1"/>
  <c r="P58" i="16"/>
  <c r="T92" i="16"/>
  <c r="L8" i="16" s="1"/>
  <c r="Q55" i="16"/>
  <c r="R55" i="16" s="1"/>
  <c r="O40" i="16"/>
  <c r="B8" i="16" s="1"/>
  <c r="O58" i="16"/>
  <c r="P40" i="16"/>
  <c r="Q58" i="16" l="1"/>
  <c r="R58" i="16" s="1"/>
  <c r="Q40" i="16"/>
  <c r="R40" i="16" s="1"/>
  <c r="G8" i="16"/>
</calcChain>
</file>

<file path=xl/sharedStrings.xml><?xml version="1.0" encoding="utf-8"?>
<sst xmlns="http://schemas.openxmlformats.org/spreadsheetml/2006/main" count="735" uniqueCount="285">
  <si>
    <t>Sovereign Debt</t>
  </si>
  <si>
    <t>Sector</t>
  </si>
  <si>
    <t>Project Finance</t>
  </si>
  <si>
    <t>Sovereigns</t>
  </si>
  <si>
    <t>Financials</t>
  </si>
  <si>
    <t>Industrials</t>
  </si>
  <si>
    <t>Renewables</t>
  </si>
  <si>
    <t>Outstanding ($B)</t>
  </si>
  <si>
    <t>Entity_ID</t>
  </si>
  <si>
    <t>Asset_Class</t>
  </si>
  <si>
    <t>Total_Committed ($B)</t>
  </si>
  <si>
    <t>Financial_Status</t>
  </si>
  <si>
    <t>Fed. Republic of Germany</t>
  </si>
  <si>
    <t>Active</t>
  </si>
  <si>
    <t>State of California</t>
  </si>
  <si>
    <t>City of Mumbai</t>
  </si>
  <si>
    <t>Microsoft</t>
  </si>
  <si>
    <t>Corp. Bond</t>
  </si>
  <si>
    <t>Apollo Hospitals</t>
  </si>
  <si>
    <t>Business Loan</t>
  </si>
  <si>
    <t>HDFC Bank</t>
  </si>
  <si>
    <t>Tata Steel</t>
  </si>
  <si>
    <t>TotalEnergies</t>
  </si>
  <si>
    <t>Continental Resources</t>
  </si>
  <si>
    <t>NextEra Energy</t>
  </si>
  <si>
    <t>ReNew Power</t>
  </si>
  <si>
    <t>Tax Equity</t>
  </si>
  <si>
    <t>Eco-Startup Alpha</t>
  </si>
  <si>
    <t>IT</t>
  </si>
  <si>
    <t>Healthcare</t>
  </si>
  <si>
    <t>Power Generation</t>
  </si>
  <si>
    <t>Duke Energy</t>
  </si>
  <si>
    <t>Adani Power</t>
  </si>
  <si>
    <t>Simulated</t>
  </si>
  <si>
    <t>Real Estate</t>
  </si>
  <si>
    <t>Local Biz Plaza</t>
  </si>
  <si>
    <t>Mortgages</t>
  </si>
  <si>
    <t>Agriculture</t>
  </si>
  <si>
    <t>Tyson Foods</t>
  </si>
  <si>
    <t>Family Farm LLC</t>
  </si>
  <si>
    <t>Commercial Real Estate</t>
  </si>
  <si>
    <t>Inactive</t>
  </si>
  <si>
    <t>SD_DEU</t>
  </si>
  <si>
    <t>Loan_APO</t>
  </si>
  <si>
    <t>Loan_FAM</t>
  </si>
  <si>
    <t>Loan_HDB</t>
  </si>
  <si>
    <t>Loan_TAT</t>
  </si>
  <si>
    <t>Loan_CON</t>
  </si>
  <si>
    <t>Loan_ECO</t>
  </si>
  <si>
    <t>CB</t>
  </si>
  <si>
    <t>CB_MSFT</t>
  </si>
  <si>
    <t>CB_TOT</t>
  </si>
  <si>
    <t>CB_TSN</t>
  </si>
  <si>
    <t>CB_DUK</t>
  </si>
  <si>
    <t>PF_NEX</t>
  </si>
  <si>
    <t>TE_REN</t>
  </si>
  <si>
    <t>Entity ID</t>
  </si>
  <si>
    <t>SD</t>
  </si>
  <si>
    <t>PF</t>
  </si>
  <si>
    <t>TE</t>
  </si>
  <si>
    <t>CRE</t>
  </si>
  <si>
    <t>Loan</t>
  </si>
  <si>
    <t>MOR_Local_Biz</t>
  </si>
  <si>
    <t>MOR</t>
  </si>
  <si>
    <t>Oil &amp; Gas</t>
  </si>
  <si>
    <t>Sectors</t>
  </si>
  <si>
    <t>Row Labels</t>
  </si>
  <si>
    <t>Grand Total</t>
  </si>
  <si>
    <t>Sum of Total_Committed ($B)</t>
  </si>
  <si>
    <t>Entity_ID (CFI_Ticker)</t>
  </si>
  <si>
    <t>Legal_Entity_Name</t>
  </si>
  <si>
    <t>Denominator_Type</t>
  </si>
  <si>
    <t>GDP</t>
  </si>
  <si>
    <t>EVIC</t>
  </si>
  <si>
    <t>Property Value</t>
  </si>
  <si>
    <t>Project Value</t>
  </si>
  <si>
    <t>Notes</t>
  </si>
  <si>
    <t>Denominator is EVIC if company is listed</t>
  </si>
  <si>
    <t>Denominator values as of 12/31/2025</t>
  </si>
  <si>
    <t>Denominator Data Source</t>
  </si>
  <si>
    <t>GHG Emissions Data Source</t>
  </si>
  <si>
    <t>https://finance.yahoo.com/quote/DUK/key-statistics/</t>
  </si>
  <si>
    <t>CDP - https://s201.q4cdn.com/583395453/files/doc_downloads/esg-key-documents/2026/FINAL-2025-CDP-Response_Submitted_11_18_2025.pdf</t>
  </si>
  <si>
    <t>https://apps.bea.gov/itable/?ReqID=99&amp;step=1#eyJhcHBpZCI6OTksInN0ZXBzIjpbMSwyOSwyNSwyNiwyNyw0MF0sImRhdGEiOltbIlRhYmxlSWQiLCI1MzIiXSxbIk1ham9yQXJlYUtleSIsIjAiXSxbIkxpbmUiLCIzIl0sWyJTdGF0ZSIsIjAiXSxbIlVuaXRfb2ZfTWVhc3VyZSIsIkxldmVscyJdLFsiTWFwQ29sb3IiLCJCRUFTdGFuZGFyZCJdLFsiblJhbmdlIiwiNSJdLFsiWWVhciIsIjIwMjU6UTMiXSxbIlllYXJCZWdpbiIsIi0xIl0sWyJZZWFyRW5kIiwiLTEiXV19</t>
  </si>
  <si>
    <t>https://ww2.arb.ca.gov/ghg-inventory-data</t>
  </si>
  <si>
    <t>https://ourworldindata.org/profile/co2/germany</t>
  </si>
  <si>
    <t>Denominator is statewise Q3 GDP (latest available). Nominal GDP used</t>
  </si>
  <si>
    <t>https://www.imf.org/external/datamapper/PPPGDP@WEO/DEU?zoom=DEU&amp;highlight=DEU</t>
  </si>
  <si>
    <t>Denominator is GDP. Include PPP to standardize to USD</t>
  </si>
  <si>
    <t>https://prsindia.org/budgets/states/maharashtra-budget-analysis-2025-26</t>
  </si>
  <si>
    <t>Denominator is GDP with PPP applied. State GSDP available. Mum city ~26% of state. Converted to USD and PPP of 3.8 applied to normalize</t>
  </si>
  <si>
    <t>https://mcap.mcgm.gov.in/wp-content/uploads/2025/06/English_CB-Report-2025-26_digital.pdf</t>
  </si>
  <si>
    <t>Loan_ADANIPOWER</t>
  </si>
  <si>
    <t>https://finance.yahoo.com/quote/ADANIPOWER.NS/key-statistics/</t>
  </si>
  <si>
    <t>Denominator is EVIC for loans to listed companies</t>
  </si>
  <si>
    <t>Sub-Sovereign Debt</t>
  </si>
  <si>
    <t>SSD</t>
  </si>
  <si>
    <t>SSD_IND_MH_MUM</t>
  </si>
  <si>
    <t>SSD_USA_CA</t>
  </si>
  <si>
    <t>https://connect.adani.com/annual_report/2025/power/ghg-emission-management.html#ghg-head</t>
  </si>
  <si>
    <t>EEIO Factor</t>
  </si>
  <si>
    <t>EEIO Category</t>
  </si>
  <si>
    <t>Hospitals</t>
  </si>
  <si>
    <t>Source</t>
  </si>
  <si>
    <t>Calculated Emissions tCO2e/USD</t>
  </si>
  <si>
    <t>CEDA Database for EEIO factor applied to revenue</t>
  </si>
  <si>
    <t>https://finance.yahoo.com/quote/MSFT/key-statistics/</t>
  </si>
  <si>
    <t>https://cdn-dynmedia-1.microsoft.com/is/content/microsoftcorp/microsoft/msc/documents/presentations/CSR/2025-Microsoft-Environmental-Data-Fact-Sheet-PDF.pdf</t>
  </si>
  <si>
    <t>http://edgar.secdatabase.com/792/119312526064403/filing-main.htm#consolidatedbalancesheets</t>
  </si>
  <si>
    <t>Revenue $B</t>
  </si>
  <si>
    <t>Oil &amp; Gas Extraction</t>
  </si>
  <si>
    <t>Denominator is Total Equity + Debt for privately held companies</t>
  </si>
  <si>
    <t>Equity+Debt</t>
  </si>
  <si>
    <t>Check for Intensity factor</t>
  </si>
  <si>
    <t>Estimation</t>
  </si>
  <si>
    <t>Market Cap - [https://ng.investing.com/pro/NYSE:HDB/explorer/marketcap](https://ng.investing.com/pro/NYSE:HDB/explorer/marketcap),  Borrowing = [https://www.hdfc.bank.in/content/dam/hdfcbankpws/in/en/pdf/financial-results/2025-2026/quarter-3/financial-results-for-the-quarter-and-nine-months-ended-December-31-2025.pdf](https://www.hdfc.bank.in/content/dam/hdfcbankpws/in/en/pdf/financial-results/2025-2026/quarter-3/financial-results-for-the-quarter-and-nine-months-ended-December-31-2025.pdf)</t>
  </si>
  <si>
    <t>https://www.bseindia.com/xml-data/corpfiling/AttachHis/f93b8c16-f2e4-49b3-9280-6c399a753158.pdf</t>
  </si>
  <si>
    <t>https://finance.yahoo.com/quote/TATASTEEL.NS/key-statistics/</t>
  </si>
  <si>
    <t>https://www.tatasteel.com/media/24907/ghg-assurance-statement.pdf</t>
  </si>
  <si>
    <t>Spire</t>
  </si>
  <si>
    <t>CRE_Spire</t>
  </si>
  <si>
    <t>Denominator is property value</t>
  </si>
  <si>
    <t>Data Quality Rank</t>
  </si>
  <si>
    <t>Data Quality Description</t>
  </si>
  <si>
    <t>https://finance.yahoo.com/quote/TTE/key-statistics/</t>
  </si>
  <si>
    <t>https://totalenergies.com/system/files/documents/totalenergies_sustainability-climate-2025-progress-report_2025_en.pdf</t>
  </si>
  <si>
    <t>https://finance.yahoo.com/quote/TSN/key-statistics/</t>
  </si>
  <si>
    <t>Product Type</t>
  </si>
  <si>
    <t>Beef</t>
  </si>
  <si>
    <t>Pork</t>
  </si>
  <si>
    <t>Chicken</t>
  </si>
  <si>
    <t>Prepared Food</t>
  </si>
  <si>
    <t>Emission Factors</t>
  </si>
  <si>
    <t>Unit</t>
  </si>
  <si>
    <t>kgCo2e/USD</t>
  </si>
  <si>
    <t>Emissions</t>
  </si>
  <si>
    <t>Total</t>
  </si>
  <si>
    <t>Product Type Revenue (USD)</t>
  </si>
  <si>
    <t>Denominator is project value</t>
  </si>
  <si>
    <t>Reported data Available</t>
  </si>
  <si>
    <t>Using Average Emission Factors</t>
  </si>
  <si>
    <t>Report available but not verified</t>
  </si>
  <si>
    <t>Estimated using company revenue</t>
  </si>
  <si>
    <t>Estimated using company production</t>
  </si>
  <si>
    <t>Estimated using location specific intensity factor</t>
  </si>
  <si>
    <t>Estimated using sector average data</t>
  </si>
  <si>
    <t>Checks and Balances</t>
  </si>
  <si>
    <t>Ref_Outstanding ($B)</t>
  </si>
  <si>
    <t>Ref_Denominator ($B)</t>
  </si>
  <si>
    <t>Attribute_Factor (%)</t>
  </si>
  <si>
    <t>GHG Emissions (MT CO2e)</t>
  </si>
  <si>
    <t>Attributed_Emissions (MT CO2e)</t>
  </si>
  <si>
    <t>Check_Attribute_Factor</t>
  </si>
  <si>
    <t>Check_Entity_Match</t>
  </si>
  <si>
    <t>Check_Unit_Alert</t>
  </si>
  <si>
    <t>GHG Emissions Calculations</t>
  </si>
  <si>
    <t>Entity Details</t>
  </si>
  <si>
    <t>Attribution Factor Calculation</t>
  </si>
  <si>
    <t>Totals</t>
  </si>
  <si>
    <t>Ref_Total_Committed ($B)</t>
  </si>
  <si>
    <t>Estimated Financed Emissions =</t>
  </si>
  <si>
    <t>Table 2 : Capital Utilization: Total committed vs Outstanding Drawn</t>
  </si>
  <si>
    <t>Table 3 : Portfolio Composition by Asset Class</t>
  </si>
  <si>
    <t>Table 4: Financed GHG Inventory for Outstanding Drawn Capital</t>
  </si>
  <si>
    <t>Table 5 : Financed GHG Inventory for Total Committed Capital</t>
  </si>
  <si>
    <t>Table 6 : Master Asset Exposure Registry</t>
  </si>
  <si>
    <t>Entity_GHG_Emissions (tCO2e)</t>
  </si>
  <si>
    <t>Entity_Denominator_Value ($B)</t>
  </si>
  <si>
    <t>Table 6 : Environmental Reference Registry</t>
  </si>
  <si>
    <t>Table : Asset Classes</t>
  </si>
  <si>
    <t>Table : Sectors</t>
  </si>
  <si>
    <t>Table : Financial Status</t>
  </si>
  <si>
    <t>Table : Denominator Type</t>
  </si>
  <si>
    <t>Tab Name</t>
  </si>
  <si>
    <t>Function</t>
  </si>
  <si>
    <t>User Action</t>
  </si>
  <si>
    <t>00_ReadMe</t>
  </si>
  <si>
    <t>Master Lookups &amp; Dropdowns</t>
  </si>
  <si>
    <t>02_Executive_Summary</t>
  </si>
  <si>
    <t>Final Audit &amp; ESG Results</t>
  </si>
  <si>
    <t>03_Entity_Master</t>
  </si>
  <si>
    <t>Bank Financial Data</t>
  </si>
  <si>
    <t>04_Legal_Entity_Data</t>
  </si>
  <si>
    <t>External GHG &amp; Valuation</t>
  </si>
  <si>
    <t>05_PCAF_Engine</t>
  </si>
  <si>
    <t>Calculation Logic</t>
  </si>
  <si>
    <t>06_Technical_Appendix</t>
  </si>
  <si>
    <t>Estimation Logic &amp; Proxies</t>
  </si>
  <si>
    <t>FINANCED EMISSIONS EXECUTIVE SUMMARY</t>
  </si>
  <si>
    <t>Data Quality Score</t>
  </si>
  <si>
    <t>Figures reflect total Financed Greenhouse Gas Emissions aligned with the PCAF Global Standards</t>
  </si>
  <si>
    <t>Financed Emissions (Total Committed)</t>
  </si>
  <si>
    <t>Financed Emissions (Outstanding Drawn)</t>
  </si>
  <si>
    <t>Portfolio Intensity (WACI)</t>
  </si>
  <si>
    <t>Financial Deep Dives</t>
  </si>
  <si>
    <t>Asset Classes</t>
  </si>
  <si>
    <t>Table 1 : Total Committed Asset Exposure by Sector</t>
  </si>
  <si>
    <t>Current Portfolio ($B)</t>
  </si>
  <si>
    <t>% of Total Committed</t>
  </si>
  <si>
    <t>Unused Commitment ($B)</t>
  </si>
  <si>
    <t>Asset Class/Product</t>
  </si>
  <si>
    <t>Total Commitments ($B)</t>
  </si>
  <si>
    <t>Total Committments ($B)</t>
  </si>
  <si>
    <t>Funded Exposure ($B)</t>
  </si>
  <si>
    <t>% of Total Commitments</t>
  </si>
  <si>
    <t>% of Funded Exposure</t>
  </si>
  <si>
    <t xml:space="preserve">% of Funded Exposure </t>
  </si>
  <si>
    <t>Product Utilization Rate</t>
  </si>
  <si>
    <t>Sector Utilization Rate</t>
  </si>
  <si>
    <t>Carbon Overhang</t>
  </si>
  <si>
    <t>Funded Footprint MT CO2e</t>
  </si>
  <si>
    <t>Table 4 : Emissions Ledger by Asset Classes</t>
  </si>
  <si>
    <t>Total Commitment Footprint MT CO2e</t>
  </si>
  <si>
    <t>Emission Risk Delta</t>
  </si>
  <si>
    <t>Asset Classes/Products</t>
  </si>
  <si>
    <r>
      <t xml:space="preserve">1. The bank has a contractual "Carbon Overhang" of </t>
    </r>
    <r>
      <rPr>
        <b/>
        <sz val="11"/>
        <color theme="1"/>
        <rFont val="Aptos Narrow"/>
        <family val="2"/>
        <scheme val="minor"/>
      </rPr>
      <t>42.7 Million tCO2​e</t>
    </r>
    <r>
      <rPr>
        <sz val="11"/>
        <color theme="1"/>
        <rFont val="Aptos Narrow"/>
        <family val="2"/>
        <scheme val="minor"/>
      </rPr>
      <t>.</t>
    </r>
  </si>
  <si>
    <t>2. If all current credit facilities are utilized, the bank's financed emissions will increase by 21%</t>
  </si>
  <si>
    <t>3. Primary Risk Driver: Business Loans represent the largest absolute risk, contributing over 42.5 Million tCO2​e to the potential overhang.</t>
  </si>
  <si>
    <t>4. Business Loans and Corporate Bonds represent the largest footprints, contributing to over 86% of firm's financed emissions</t>
  </si>
  <si>
    <t>Emission Deep Dives</t>
  </si>
  <si>
    <t>1. Sovereign and Sub-Sovereign Debt represents the primary portfolio anchor, accounting for 64.8% of total Deployed Capital ($400B).</t>
  </si>
  <si>
    <t>2. The portfolio has $43.85B in Undrawn Headroom, primarily concentrated in Business Loans ($35B)</t>
  </si>
  <si>
    <t>3. Overall portfolio utilization stands at 93%</t>
  </si>
  <si>
    <t>4. Bank's remaining growth capacity tied to traditionally higher credit risk finances, Business Loans, Real Estate, Mortgage, and Tax Equity.</t>
  </si>
  <si>
    <t>Table 5 : Emissions Ledger by Sector</t>
  </si>
  <si>
    <t>5. Power Generation is the biggest driver of both realized emissions and future carbon emissions for the portfolio</t>
  </si>
  <si>
    <t>6. Healthcare and Real Estate portfolios, albeit  lower emissions, have the most sensitive to emissions increase</t>
  </si>
  <si>
    <t>7. Bank has roughly 21% unrealized emissions and will potentially impact any emission reduction goals that are set.</t>
  </si>
  <si>
    <t>MT CO2e</t>
  </si>
  <si>
    <t>Avg. Data Quality Score</t>
  </si>
  <si>
    <t>Average</t>
  </si>
  <si>
    <t>Table 6 : Data Quality Rank by Sector</t>
  </si>
  <si>
    <t>Table 7 : Weighted Average Carbon Intensity</t>
  </si>
  <si>
    <t>Portfolio Weighting</t>
  </si>
  <si>
    <t>Funded Footprint (MT CO2e)</t>
  </si>
  <si>
    <t>Funded Emission Intensity (MT CO2e/$1M)</t>
  </si>
  <si>
    <t>MT CO2e / $1M</t>
  </si>
  <si>
    <t>WACI (MT CO2e/$1M)</t>
  </si>
  <si>
    <t>Table : Emission Calculations from Revenue</t>
  </si>
  <si>
    <t>Table : Emissions Calculations from Product value</t>
  </si>
  <si>
    <r>
      <t xml:space="preserve">This </t>
    </r>
    <r>
      <rPr>
        <b/>
        <sz val="11"/>
        <color theme="1"/>
        <rFont val="Aptos Narrow"/>
        <family val="2"/>
        <scheme val="minor"/>
      </rPr>
      <t>User Guide &amp; Tool Documentation</t>
    </r>
    <r>
      <rPr>
        <sz val="11"/>
        <color theme="1"/>
        <rFont val="Aptos Narrow"/>
        <family val="2"/>
        <scheme val="minor"/>
      </rPr>
      <t xml:space="preserve"> is designed for the analysts or auditors who will maintain, update, or refresh this model in future reporting cycles.</t>
    </r>
  </si>
  <si>
    <t>1. Data Architecture &amp; Flow</t>
  </si>
  <si>
    <t>This tool follows a linear "Engine-to-Dashboard" architecture. To ensure data integrity, follow this update sequence:</t>
  </si>
  <si>
    <t>Overview &amp; Methodology</t>
  </si>
  <si>
    <r>
      <t>Read first</t>
    </r>
    <r>
      <rPr>
        <sz val="11"/>
        <color theme="1"/>
        <rFont val="Arial"/>
        <family val="2"/>
      </rPr>
      <t xml:space="preserve"> to understand the scope and risk definitions.</t>
    </r>
  </si>
  <si>
    <t>01_Firm_Parameters</t>
  </si>
  <si>
    <t>Update only if bank standards or internal classifications change.</t>
  </si>
  <si>
    <r>
      <t>Key Output.</t>
    </r>
    <r>
      <rPr>
        <sz val="11"/>
        <color theme="1"/>
        <rFont val="Arial"/>
        <family val="2"/>
      </rPr>
      <t xml:space="preserve"> View total portfolio GHG, WACI, and Risk Overhang here.</t>
    </r>
  </si>
  <si>
    <t>Input primary loan data, credit limits, and outstanding balances here.</t>
  </si>
  <si>
    <t>Input client-level emissions data and enterprise/property values here.</t>
  </si>
  <si>
    <r>
      <t>Do Not Edit.</t>
    </r>
    <r>
      <rPr>
        <sz val="11"/>
        <color theme="1"/>
        <rFont val="Arial"/>
        <family val="2"/>
      </rPr>
      <t xml:space="preserve"> This tab automates the attribution and risk math.</t>
    </r>
  </si>
  <si>
    <t>Reference for how "Score 4/5" proxy-based assets were calculated.</t>
  </si>
  <si>
    <t>07_Reconciliation</t>
  </si>
  <si>
    <t>Audit &amp; Data Integrity</t>
  </si>
  <si>
    <t>Use to verify that the Engine totals tie back to the Entity Master.</t>
  </si>
  <si>
    <t xml:space="preserve"> Designed by Pranav Yathiraj</t>
  </si>
  <si>
    <t>Financed and Facilitated Emissions Tool v1.0</t>
  </si>
  <si>
    <t>Date - 02/22/2026</t>
  </si>
  <si>
    <t>Emissions calculation tool for banks and investment firms based on the PCAF Methodology framework published 2025.</t>
  </si>
  <si>
    <t>Step 1: Set the Foundation (Firm Parameters)</t>
  </si>
  <si>
    <r>
      <t>Action:</t>
    </r>
    <r>
      <rPr>
        <sz val="11"/>
        <color theme="1"/>
        <rFont val="Aptos Narrow"/>
        <family val="2"/>
        <scheme val="minor"/>
      </rPr>
      <t xml:space="preserve"> Update the </t>
    </r>
    <r>
      <rPr>
        <b/>
        <sz val="11"/>
        <color theme="1"/>
        <rFont val="Aptos Narrow"/>
        <family val="2"/>
        <scheme val="minor"/>
      </rPr>
      <t>01_Firm_Parameters</t>
    </r>
    <r>
      <rPr>
        <sz val="11"/>
        <color theme="1"/>
        <rFont val="Aptos Narrow"/>
        <family val="2"/>
        <scheme val="minor"/>
      </rPr>
      <t xml:space="preserve"> tab.</t>
    </r>
  </si>
  <si>
    <r>
      <t>Purpose:</t>
    </r>
    <r>
      <rPr>
        <sz val="11"/>
        <color theme="1"/>
        <rFont val="Aptos Narrow"/>
        <family val="2"/>
        <scheme val="minor"/>
      </rPr>
      <t xml:space="preserve"> This controls the global dropdowns and sector mapping logic used across the entire tool. If the bank adds a new asset class or changes its "Risk Sensitivity" thresholds, update them here first to avoid "broken link" errors in the summary tables.</t>
    </r>
  </si>
  <si>
    <t>Step 2: Financial Refresh (Entity Master)</t>
  </si>
  <si>
    <r>
      <t>Action:</t>
    </r>
    <r>
      <rPr>
        <sz val="11"/>
        <color theme="1"/>
        <rFont val="Aptos Narrow"/>
        <family val="2"/>
        <scheme val="minor"/>
      </rPr>
      <t xml:space="preserve"> Update the </t>
    </r>
    <r>
      <rPr>
        <b/>
        <sz val="11"/>
        <color theme="1"/>
        <rFont val="Aptos Narrow"/>
        <family val="2"/>
        <scheme val="minor"/>
      </rPr>
      <t>03_Entity_Master</t>
    </r>
    <r>
      <rPr>
        <sz val="11"/>
        <color theme="1"/>
        <rFont val="Aptos Narrow"/>
        <family val="2"/>
        <scheme val="minor"/>
      </rPr>
      <t xml:space="preserve"> list.</t>
    </r>
  </si>
  <si>
    <r>
      <t>Purpose:</t>
    </r>
    <r>
      <rPr>
        <sz val="11"/>
        <color theme="1"/>
        <rFont val="Aptos Narrow"/>
        <family val="2"/>
        <scheme val="minor"/>
      </rPr>
      <t xml:space="preserve"> Input the latest financial data, including </t>
    </r>
    <r>
      <rPr>
        <b/>
        <sz val="11"/>
        <color theme="1"/>
        <rFont val="Aptos Narrow"/>
        <family val="2"/>
        <scheme val="minor"/>
      </rPr>
      <t>Total Commitments</t>
    </r>
    <r>
      <rPr>
        <sz val="11"/>
        <color theme="1"/>
        <rFont val="Aptos Narrow"/>
        <family val="2"/>
        <scheme val="minor"/>
      </rPr>
      <t xml:space="preserve"> and </t>
    </r>
    <r>
      <rPr>
        <b/>
        <sz val="11"/>
        <color theme="1"/>
        <rFont val="Aptos Narrow"/>
        <family val="2"/>
        <scheme val="minor"/>
      </rPr>
      <t>Funded Exposure</t>
    </r>
    <r>
      <rPr>
        <sz val="11"/>
        <color theme="1"/>
        <rFont val="Aptos Narrow"/>
        <family val="2"/>
        <scheme val="minor"/>
      </rPr>
      <t xml:space="preserve">. This is the source of truth for the </t>
    </r>
    <r>
      <rPr>
        <b/>
        <sz val="11"/>
        <color theme="1"/>
        <rFont val="Aptos Narrow"/>
        <family val="2"/>
        <scheme val="minor"/>
      </rPr>
      <t>Portfolio Weights</t>
    </r>
    <r>
      <rPr>
        <sz val="11"/>
        <color theme="1"/>
        <rFont val="Aptos Narrow"/>
        <family val="2"/>
        <scheme val="minor"/>
      </rPr>
      <t xml:space="preserve"> used in the WACI calculation.</t>
    </r>
  </si>
  <si>
    <r>
      <t>Audit Check:</t>
    </r>
    <r>
      <rPr>
        <sz val="11"/>
        <color theme="1"/>
        <rFont val="Aptos Narrow"/>
        <family val="2"/>
        <scheme val="minor"/>
      </rPr>
      <t xml:space="preserve"> Ensure the "Grand Total" matches the bank’s general ledger before moving to emissions.</t>
    </r>
  </si>
  <si>
    <t>Step 3: Emissions &amp; PCAF Data (Legal Entity Data)</t>
  </si>
  <si>
    <r>
      <t>Action:</t>
    </r>
    <r>
      <rPr>
        <sz val="11"/>
        <color theme="1"/>
        <rFont val="Aptos Narrow"/>
        <family val="2"/>
        <scheme val="minor"/>
      </rPr>
      <t xml:space="preserve"> Update </t>
    </r>
    <r>
      <rPr>
        <b/>
        <sz val="11"/>
        <color theme="1"/>
        <rFont val="Aptos Narrow"/>
        <family val="2"/>
        <scheme val="minor"/>
      </rPr>
      <t>04_Legal_Entity_Data</t>
    </r>
    <r>
      <rPr>
        <sz val="11"/>
        <color theme="1"/>
        <rFont val="Aptos Narrow"/>
        <family val="2"/>
        <scheme val="minor"/>
      </rPr>
      <t>.</t>
    </r>
  </si>
  <si>
    <r>
      <t>Purpose:</t>
    </r>
    <r>
      <rPr>
        <sz val="11"/>
        <color theme="1"/>
        <rFont val="Aptos Narrow"/>
        <family val="2"/>
        <scheme val="minor"/>
      </rPr>
      <t xml:space="preserve"> Input client-level primary emissions data where available. This is where you manually improve the </t>
    </r>
    <r>
      <rPr>
        <b/>
        <sz val="11"/>
        <color theme="1"/>
        <rFont val="Aptos Narrow"/>
        <family val="2"/>
        <scheme val="minor"/>
      </rPr>
      <t>Data Quality Rank (1-5)</t>
    </r>
    <r>
      <rPr>
        <sz val="11"/>
        <color theme="1"/>
        <rFont val="Aptos Narrow"/>
        <family val="2"/>
        <scheme val="minor"/>
      </rPr>
      <t>. As clients move from "Estimates" to "Verified Disclosures," the Portfolio WACI becomes more reliable.</t>
    </r>
  </si>
  <si>
    <t>Step 4: Proxy Verification (Technical Appendix)</t>
  </si>
  <si>
    <r>
      <t>Action:</t>
    </r>
    <r>
      <rPr>
        <sz val="11"/>
        <color theme="1"/>
        <rFont val="Aptos Narrow"/>
        <family val="2"/>
        <scheme val="minor"/>
      </rPr>
      <t xml:space="preserve"> Review the </t>
    </r>
    <r>
      <rPr>
        <b/>
        <sz val="11"/>
        <color theme="1"/>
        <rFont val="Aptos Narrow"/>
        <family val="2"/>
        <scheme val="minor"/>
      </rPr>
      <t>06_Technical_Appendix</t>
    </r>
    <r>
      <rPr>
        <sz val="11"/>
        <color theme="1"/>
        <rFont val="Aptos Narrow"/>
        <family val="2"/>
        <scheme val="minor"/>
      </rPr>
      <t>.</t>
    </r>
  </si>
  <si>
    <r>
      <t>Purpose:</t>
    </r>
    <r>
      <rPr>
        <sz val="11"/>
        <color theme="1"/>
        <rFont val="Aptos Narrow"/>
        <family val="2"/>
        <scheme val="minor"/>
      </rPr>
      <t xml:space="preserve"> Use this if you are calculating emissions for clients who </t>
    </r>
    <r>
      <rPr>
        <i/>
        <sz val="11"/>
        <color theme="1"/>
        <rFont val="Aptos Narrow"/>
        <family val="2"/>
        <scheme val="minor"/>
      </rPr>
      <t>cannot</t>
    </r>
    <r>
      <rPr>
        <sz val="11"/>
        <color theme="1"/>
        <rFont val="Aptos Narrow"/>
        <family val="2"/>
        <scheme val="minor"/>
      </rPr>
      <t xml:space="preserve"> provide data. This tab manages the "Proxy" math (Score 4 and 5).</t>
    </r>
  </si>
  <si>
    <r>
      <t>Analyst Note:</t>
    </r>
    <r>
      <rPr>
        <sz val="11"/>
        <color theme="1"/>
        <rFont val="Aptos Narrow"/>
        <family val="2"/>
        <scheme val="minor"/>
      </rPr>
      <t xml:space="preserve"> Always check this tab when a sector shows a high </t>
    </r>
    <r>
      <rPr>
        <b/>
        <sz val="11"/>
        <color theme="1"/>
        <rFont val="Aptos Narrow"/>
        <family val="2"/>
        <scheme val="minor"/>
      </rPr>
      <t>Carbon Overhang</t>
    </r>
    <r>
      <rPr>
        <sz val="11"/>
        <color theme="1"/>
        <rFont val="Aptos Narrow"/>
        <family val="2"/>
        <scheme val="minor"/>
      </rPr>
      <t xml:space="preserve"> to see if the estimation methodology needs refining.</t>
    </r>
  </si>
  <si>
    <t>Step 5: Engine Processing (PCAF Engine)</t>
  </si>
  <si>
    <r>
      <t>Action:</t>
    </r>
    <r>
      <rPr>
        <sz val="11"/>
        <color theme="1"/>
        <rFont val="Aptos Narrow"/>
        <family val="2"/>
        <scheme val="minor"/>
      </rPr>
      <t xml:space="preserve"> Verify </t>
    </r>
    <r>
      <rPr>
        <b/>
        <sz val="11"/>
        <color theme="1"/>
        <rFont val="Aptos Narrow"/>
        <family val="2"/>
        <scheme val="minor"/>
      </rPr>
      <t>05_PCAF_Engine</t>
    </r>
    <r>
      <rPr>
        <sz val="11"/>
        <color theme="1"/>
        <rFont val="Aptos Narrow"/>
        <family val="2"/>
        <scheme val="minor"/>
      </rPr>
      <t>.</t>
    </r>
  </si>
  <si>
    <r>
      <t>Purpose:</t>
    </r>
    <r>
      <rPr>
        <sz val="11"/>
        <color theme="1"/>
        <rFont val="Aptos Narrow"/>
        <family val="2"/>
        <scheme val="minor"/>
      </rPr>
      <t xml:space="preserve"> This is the automated "Black Box." It maps sector names to the emission factors. You generally don't edit this, but you must check it to ensure no "Unmapped" sectors are throwing off the total attribution.</t>
    </r>
  </si>
  <si>
    <t>Step 6: Final Review (Executive Summary)</t>
  </si>
  <si>
    <r>
      <t>Action:</t>
    </r>
    <r>
      <rPr>
        <sz val="11"/>
        <color theme="1"/>
        <rFont val="Aptos Narrow"/>
        <family val="2"/>
        <scheme val="minor"/>
      </rPr>
      <t xml:space="preserve"> Refresh Pivot Tables on </t>
    </r>
    <r>
      <rPr>
        <b/>
        <sz val="11"/>
        <color theme="1"/>
        <rFont val="Aptos Narrow"/>
        <family val="2"/>
        <scheme val="minor"/>
      </rPr>
      <t>02_Executive_Summary</t>
    </r>
    <r>
      <rPr>
        <sz val="11"/>
        <color theme="1"/>
        <rFont val="Aptos Narrow"/>
        <family val="2"/>
        <scheme val="minor"/>
      </rPr>
      <t>.</t>
    </r>
  </si>
  <si>
    <r>
      <t>Purpose:</t>
    </r>
    <r>
      <rPr>
        <sz val="11"/>
        <color theme="1"/>
        <rFont val="Aptos Narrow"/>
        <family val="2"/>
        <scheme val="minor"/>
      </rPr>
      <t xml:space="preserve"> The Dynamic Arrays and Pivot Tables will now pull the fresh data.</t>
    </r>
  </si>
  <si>
    <t>Quick Metrics Legend for Future Users</t>
  </si>
  <si>
    <r>
      <t>Funded Footprint:</t>
    </r>
    <r>
      <rPr>
        <sz val="11"/>
        <color theme="1"/>
        <rFont val="Aptos Narrow"/>
        <family val="2"/>
        <scheme val="minor"/>
      </rPr>
      <t xml:space="preserve"> Current realized emissions (The "Now").</t>
    </r>
  </si>
  <si>
    <r>
      <t>Carbon Overhang:</t>
    </r>
    <r>
      <rPr>
        <sz val="11"/>
        <color theme="1"/>
        <rFont val="Aptos Narrow"/>
        <family val="2"/>
        <scheme val="minor"/>
      </rPr>
      <t xml:space="preserve"> Legally committed future emissions (The "Risk").</t>
    </r>
  </si>
  <si>
    <r>
      <t>WACI (tCO2​e/$1M):</t>
    </r>
    <r>
      <rPr>
        <sz val="11"/>
        <color theme="1"/>
        <rFont val="Aptos Narrow"/>
        <family val="2"/>
        <scheme val="minor"/>
      </rPr>
      <t xml:space="preserve"> Portfolio carbon efficiency (The "Benchmark").</t>
    </r>
  </si>
  <si>
    <r>
      <t>Data Quality Rank:</t>
    </r>
    <r>
      <rPr>
        <sz val="11"/>
        <color theme="1"/>
        <rFont val="Aptos Narrow"/>
        <family val="2"/>
        <scheme val="minor"/>
      </rPr>
      <t xml:space="preserve"> Confidence level in the reported numbers (The "Audit").</t>
    </r>
  </si>
  <si>
    <r>
      <t>Talking Points:</t>
    </r>
    <r>
      <rPr>
        <sz val="11"/>
        <color theme="1"/>
        <rFont val="Aptos Narrow"/>
        <family val="2"/>
        <scheme val="minor"/>
      </rPr>
      <t xml:space="preserve"> The </t>
    </r>
    <r>
      <rPr>
        <b/>
        <sz val="11"/>
        <color theme="1"/>
        <rFont val="Aptos Narrow"/>
        <family val="2"/>
        <scheme val="minor"/>
      </rPr>
      <t>"Financial Deep Dive" and "Emissions Deep Dive"</t>
    </r>
    <r>
      <rPr>
        <sz val="11"/>
        <color theme="1"/>
        <rFont val="Aptos Narrow"/>
        <family val="2"/>
        <scheme val="minor"/>
      </rPr>
      <t xml:space="preserve"> tab should be manually updated by the analyst to highlight new risks, such as shifts in </t>
    </r>
    <r>
      <rPr>
        <b/>
        <sz val="11"/>
        <color theme="1"/>
        <rFont val="Aptos Narrow"/>
        <family val="2"/>
        <scheme val="minor"/>
      </rPr>
      <t>Emission Risk Delta</t>
    </r>
    <r>
      <rPr>
        <sz val="11"/>
        <color theme="1"/>
        <rFont val="Aptos Narrow"/>
        <family val="2"/>
        <scheme val="minor"/>
      </rPr>
      <t xml:space="preserve"> or changes in </t>
    </r>
    <r>
      <rPr>
        <b/>
        <sz val="11"/>
        <color theme="1"/>
        <rFont val="Aptos Narrow"/>
        <family val="2"/>
        <scheme val="minor"/>
      </rPr>
      <t>WACI Efficiency</t>
    </r>
    <r>
      <rPr>
        <sz val="11"/>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</si>
</sst>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70" formatCode="0.00000000"/>
    <numFmt numFmtId="180" formatCode="_(* #,##0.0000000_);_(* \(#,##0.0000000\);_(* &quot;-&quot;??_);_(@_)"/>
  </numFmts>
  <fonts count="27"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color theme="1"/>
      <name val="Arial"/>
      <family val="2"/>
    </font>
    <font>
      <b/>
      <sz val="11"/>
      <color theme="1"/>
      <name val="Arial"/>
      <family val="2"/>
    </font>
    <font>
      <b/>
      <sz val="11"/>
      <color theme="0"/>
      <name val="Arial"/>
      <family val="2"/>
    </font>
    <font>
      <sz val="12"/>
      <color theme="1"/>
      <name val="Aptos Narrow"/>
      <family val="2"/>
      <scheme val="minor"/>
    </font>
    <font>
      <sz val="8"/>
      <name val="Aptos Narrow"/>
      <family val="2"/>
      <scheme val="minor"/>
    </font>
    <font>
      <u/>
      <sz val="11"/>
      <color theme="10"/>
      <name val="Aptos Narrow"/>
      <family val="2"/>
      <scheme val="minor"/>
    </font>
    <font>
      <sz val="11"/>
      <name val="Arial"/>
      <family val="2"/>
    </font>
    <font>
      <b/>
      <sz val="11"/>
      <name val="Arial"/>
      <family val="2"/>
    </font>
    <font>
      <sz val="11"/>
      <color theme="0"/>
      <name val="Arial"/>
      <family val="2"/>
    </font>
    <font>
      <i/>
      <sz val="11"/>
      <color theme="1"/>
      <name val="Aptos Narrow"/>
      <family val="2"/>
      <scheme val="minor"/>
    </font>
    <font>
      <b/>
      <sz val="12"/>
      <color theme="1"/>
      <name val="Aptos Narrow"/>
      <family val="2"/>
      <scheme val="minor"/>
    </font>
    <font>
      <b/>
      <sz val="18"/>
      <color theme="1"/>
      <name val="Aptos Narrow"/>
      <family val="2"/>
      <scheme val="minor"/>
    </font>
    <font>
      <i/>
      <sz val="12"/>
      <color theme="1"/>
      <name val="Aptos Narrow"/>
      <family val="2"/>
      <scheme val="minor"/>
    </font>
    <font>
      <sz val="11"/>
      <color theme="0" tint="-0.249977111117893"/>
      <name val="Aptos Narrow"/>
      <family val="2"/>
      <scheme val="minor"/>
    </font>
    <font>
      <sz val="11"/>
      <name val="Aptos Narrow"/>
      <family val="2"/>
      <scheme val="minor"/>
    </font>
    <font>
      <b/>
      <sz val="11"/>
      <name val="Aptos Narrow"/>
      <family val="2"/>
      <scheme val="minor"/>
    </font>
    <font>
      <b/>
      <sz val="14"/>
      <color theme="0"/>
      <name val="Aptos Narrow"/>
      <family val="2"/>
      <scheme val="minor"/>
    </font>
    <font>
      <b/>
      <sz val="16"/>
      <color theme="0"/>
      <name val="Aptos Narrow"/>
      <family val="2"/>
      <scheme val="minor"/>
    </font>
    <font>
      <b/>
      <sz val="18"/>
      <color theme="0"/>
      <name val="Aptos Narrow"/>
      <family val="2"/>
      <scheme val="minor"/>
    </font>
    <font>
      <b/>
      <sz val="13.5"/>
      <color theme="1"/>
      <name val="Aptos Narrow"/>
      <family val="2"/>
      <scheme val="minor"/>
    </font>
    <font>
      <b/>
      <sz val="20"/>
      <color theme="0"/>
      <name val="Aptos Narrow"/>
      <family val="2"/>
      <scheme val="minor"/>
    </font>
    <font>
      <i/>
      <sz val="11"/>
      <color theme="0"/>
      <name val="Aptos Narrow"/>
      <family val="2"/>
      <scheme val="minor"/>
    </font>
  </fonts>
  <fills count="9">
    <fill>
      <patternFill patternType="none"/>
    </fill>
    <fill>
      <patternFill patternType="gray125"/>
    </fill>
    <fill>
      <patternFill patternType="solid">
        <fgColor theme="3" tint="9.9978637043366805E-2"/>
        <bgColor indexed="64"/>
      </patternFill>
    </fill>
    <fill>
      <patternFill patternType="solid">
        <fgColor theme="3" tint="0.89999084444715716"/>
        <bgColor indexed="64"/>
      </patternFill>
    </fill>
    <fill>
      <patternFill patternType="solid">
        <fgColor theme="2" tint="-0.89999084444715716"/>
        <bgColor indexed="64"/>
      </patternFill>
    </fill>
    <fill>
      <patternFill patternType="solid">
        <fgColor theme="0" tint="-0.249977111117893"/>
        <bgColor indexed="64"/>
      </patternFill>
    </fill>
    <fill>
      <patternFill patternType="solid">
        <fgColor theme="0"/>
        <bgColor indexed="64"/>
      </patternFill>
    </fill>
    <fill>
      <patternFill patternType="solid">
        <fgColor theme="0" tint="-0.249977111117893"/>
        <bgColor theme="1"/>
      </patternFill>
    </fill>
    <fill>
      <patternFill patternType="solid">
        <fgColor theme="3"/>
        <bgColor indexed="64"/>
      </patternFill>
    </fill>
  </fills>
  <borders count="32">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medium">
        <color rgb="FF000000"/>
      </bottom>
      <diagonal/>
    </border>
    <border>
      <left/>
      <right style="thin">
        <color indexed="64"/>
      </right>
      <top style="thin">
        <color indexed="64"/>
      </top>
      <bottom style="medium">
        <color rgb="FF000000"/>
      </bottom>
      <diagonal/>
    </border>
    <border>
      <left/>
      <right/>
      <top/>
      <bottom style="medium">
        <color indexed="64"/>
      </bottom>
      <diagonal/>
    </border>
    <border>
      <left/>
      <right/>
      <top style="thin">
        <color indexed="64"/>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0" fillId="0" borderId="0" applyNumberFormat="0" applyFill="0" applyBorder="0" applyAlignment="0" applyProtection="0"/>
  </cellStyleXfs>
  <cellXfs count="192">
    <xf numFmtId="0" fontId="0" fillId="0" borderId="0" xfId="0"/>
    <xf numFmtId="0" fontId="6" fillId="0" borderId="1" xfId="0" applyFont="1"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vertical="center"/>
    </xf>
    <xf numFmtId="0" fontId="5" fillId="0" borderId="2" xfId="0" applyFont="1" applyBorder="1" applyAlignment="1">
      <alignment vertical="center"/>
    </xf>
    <xf numFmtId="0" fontId="5" fillId="0" borderId="3" xfId="0" applyFont="1" applyBorder="1" applyAlignment="1">
      <alignment vertical="center"/>
    </xf>
    <xf numFmtId="0" fontId="5" fillId="0" borderId="5" xfId="0" applyFont="1" applyBorder="1" applyAlignment="1">
      <alignment vertical="center"/>
    </xf>
    <xf numFmtId="0" fontId="5" fillId="0" borderId="9" xfId="0" applyFont="1" applyBorder="1" applyAlignment="1">
      <alignment vertical="center"/>
    </xf>
    <xf numFmtId="0" fontId="5" fillId="0" borderId="6" xfId="0" applyFont="1" applyBorder="1" applyAlignment="1">
      <alignment vertical="center"/>
    </xf>
    <xf numFmtId="0" fontId="3" fillId="0" borderId="0" xfId="0" applyFont="1"/>
    <xf numFmtId="0" fontId="5" fillId="0" borderId="4" xfId="0" applyFont="1" applyBorder="1" applyAlignment="1">
      <alignment vertical="center"/>
    </xf>
    <xf numFmtId="0" fontId="5" fillId="0" borderId="3" xfId="0" applyFont="1" applyFill="1" applyBorder="1" applyAlignment="1">
      <alignment vertical="center"/>
    </xf>
    <xf numFmtId="0" fontId="8" fillId="0" borderId="0" xfId="0" applyFont="1"/>
    <xf numFmtId="0" fontId="0" fillId="0" borderId="18" xfId="0" applyBorder="1"/>
    <xf numFmtId="0" fontId="0" fillId="0" borderId="19" xfId="0" applyBorder="1"/>
    <xf numFmtId="0" fontId="5" fillId="0" borderId="20" xfId="0" applyFont="1" applyBorder="1" applyAlignment="1">
      <alignment vertical="center"/>
    </xf>
    <xf numFmtId="0" fontId="5" fillId="0" borderId="16" xfId="0" applyFont="1" applyBorder="1" applyAlignment="1">
      <alignment vertical="center"/>
    </xf>
    <xf numFmtId="0" fontId="0" fillId="0" borderId="16" xfId="0" applyBorder="1"/>
    <xf numFmtId="0" fontId="0" fillId="0" borderId="26" xfId="0" applyBorder="1"/>
    <xf numFmtId="4" fontId="0" fillId="0" borderId="16" xfId="0" applyNumberFormat="1" applyBorder="1"/>
    <xf numFmtId="43" fontId="0" fillId="0" borderId="0" xfId="1" applyFont="1"/>
    <xf numFmtId="43" fontId="3" fillId="0" borderId="0" xfId="1" applyFont="1"/>
    <xf numFmtId="0" fontId="5" fillId="0" borderId="7" xfId="0" applyFont="1" applyFill="1" applyBorder="1" applyAlignment="1">
      <alignment vertical="center"/>
    </xf>
    <xf numFmtId="0" fontId="5" fillId="0" borderId="0" xfId="0" applyFont="1" applyFill="1" applyBorder="1" applyAlignment="1">
      <alignment vertical="center"/>
    </xf>
    <xf numFmtId="0" fontId="6" fillId="0" borderId="13" xfId="0" applyFont="1" applyFill="1" applyBorder="1" applyAlignment="1">
      <alignment vertical="center"/>
    </xf>
    <xf numFmtId="0" fontId="0" fillId="0" borderId="14" xfId="0" applyBorder="1" applyAlignment="1">
      <alignment horizontal="left"/>
    </xf>
    <xf numFmtId="0" fontId="0" fillId="0" borderId="0" xfId="0" applyNumberFormat="1" applyAlignment="1">
      <alignment horizontal="center" vertical="center"/>
    </xf>
    <xf numFmtId="0" fontId="3" fillId="0" borderId="15" xfId="0" applyNumberFormat="1" applyFont="1" applyBorder="1" applyAlignment="1">
      <alignment horizontal="center" vertical="center"/>
    </xf>
    <xf numFmtId="0" fontId="0" fillId="0" borderId="0" xfId="0" applyNumberFormat="1" applyBorder="1" applyAlignment="1">
      <alignment horizontal="center" vertical="center"/>
    </xf>
    <xf numFmtId="10" fontId="0" fillId="0" borderId="15" xfId="0" applyNumberFormat="1" applyBorder="1" applyAlignment="1">
      <alignment horizontal="center" vertical="center"/>
    </xf>
    <xf numFmtId="0" fontId="0" fillId="0" borderId="27" xfId="0" applyNumberFormat="1" applyBorder="1" applyAlignment="1">
      <alignment horizontal="center" vertical="center"/>
    </xf>
    <xf numFmtId="10" fontId="0" fillId="0" borderId="18" xfId="0" applyNumberFormat="1" applyBorder="1" applyAlignment="1">
      <alignment horizontal="center" vertical="center"/>
    </xf>
    <xf numFmtId="0" fontId="15" fillId="0" borderId="0" xfId="0" applyFont="1"/>
    <xf numFmtId="0" fontId="5" fillId="0" borderId="1" xfId="0" applyFont="1" applyBorder="1" applyAlignment="1">
      <alignment horizontal="center" vertical="center"/>
    </xf>
    <xf numFmtId="0" fontId="5" fillId="0" borderId="6" xfId="0" applyFont="1" applyBorder="1" applyAlignment="1">
      <alignment horizontal="center" vertical="center"/>
    </xf>
    <xf numFmtId="0" fontId="0" fillId="3" borderId="0" xfId="0" applyFill="1"/>
    <xf numFmtId="0" fontId="7" fillId="4" borderId="29" xfId="0" applyFont="1" applyFill="1" applyBorder="1" applyAlignment="1">
      <alignment vertical="center"/>
    </xf>
    <xf numFmtId="0" fontId="7" fillId="4" borderId="28" xfId="0" applyFont="1" applyFill="1" applyBorder="1" applyAlignment="1">
      <alignment vertical="center"/>
    </xf>
    <xf numFmtId="0" fontId="0" fillId="4" borderId="0" xfId="0" applyFill="1"/>
    <xf numFmtId="0" fontId="0" fillId="3" borderId="0" xfId="0" applyFill="1" applyAlignment="1">
      <alignment horizontal="center" vertical="center"/>
    </xf>
    <xf numFmtId="43" fontId="7" fillId="4" borderId="0" xfId="1" applyFont="1" applyFill="1"/>
    <xf numFmtId="43" fontId="2" fillId="4" borderId="0" xfId="1" applyFont="1" applyFill="1"/>
    <xf numFmtId="0" fontId="11" fillId="0" borderId="16" xfId="0" applyFont="1" applyFill="1" applyBorder="1" applyAlignment="1">
      <alignment vertical="center" wrapText="1"/>
    </xf>
    <xf numFmtId="0" fontId="11" fillId="0" borderId="23" xfId="0" applyFont="1" applyFill="1" applyBorder="1" applyAlignment="1">
      <alignment vertical="center" wrapText="1"/>
    </xf>
    <xf numFmtId="43" fontId="0" fillId="0" borderId="0" xfId="0" applyNumberFormat="1"/>
    <xf numFmtId="0" fontId="5" fillId="0" borderId="17" xfId="0" applyFont="1" applyBorder="1" applyAlignment="1">
      <alignment vertical="center"/>
    </xf>
    <xf numFmtId="0" fontId="5" fillId="0" borderId="18" xfId="0" applyFont="1" applyBorder="1" applyAlignment="1">
      <alignment vertical="center"/>
    </xf>
    <xf numFmtId="4" fontId="0" fillId="0" borderId="18" xfId="0" applyNumberFormat="1" applyBorder="1"/>
    <xf numFmtId="0" fontId="0" fillId="0" borderId="16" xfId="0" applyNumberFormat="1" applyBorder="1"/>
    <xf numFmtId="0" fontId="0" fillId="0" borderId="18" xfId="0" applyNumberFormat="1" applyBorder="1"/>
    <xf numFmtId="0" fontId="2" fillId="2" borderId="0" xfId="0" applyFont="1" applyFill="1" applyAlignment="1">
      <alignment horizontal="center" vertical="center"/>
    </xf>
    <xf numFmtId="0" fontId="0" fillId="2" borderId="0" xfId="0" applyFill="1" applyAlignment="1">
      <alignment horizontal="center" vertical="center"/>
    </xf>
    <xf numFmtId="0" fontId="16" fillId="3" borderId="0" xfId="0" applyFont="1" applyFill="1" applyAlignment="1">
      <alignment horizontal="center"/>
    </xf>
    <xf numFmtId="0" fontId="4" fillId="3" borderId="0" xfId="0" applyFont="1" applyFill="1"/>
    <xf numFmtId="0" fontId="17" fillId="3" borderId="0" xfId="0" applyFont="1" applyFill="1" applyAlignment="1">
      <alignment horizontal="center" vertical="center"/>
    </xf>
    <xf numFmtId="0" fontId="2" fillId="3" borderId="0" xfId="0" applyFont="1" applyFill="1" applyAlignment="1">
      <alignment vertical="center"/>
    </xf>
    <xf numFmtId="0" fontId="0" fillId="0" borderId="0" xfId="0" applyAlignment="1">
      <alignment horizontal="center" vertical="center"/>
    </xf>
    <xf numFmtId="0" fontId="0" fillId="0" borderId="23" xfId="0" applyBorder="1" applyAlignment="1">
      <alignment horizontal="left"/>
    </xf>
    <xf numFmtId="0" fontId="0" fillId="0" borderId="15" xfId="0" applyBorder="1" applyAlignment="1">
      <alignment horizontal="left"/>
    </xf>
    <xf numFmtId="0" fontId="0" fillId="0" borderId="18" xfId="0" applyBorder="1" applyAlignment="1">
      <alignment horizontal="left"/>
    </xf>
    <xf numFmtId="0" fontId="0" fillId="0" borderId="16" xfId="0" applyBorder="1" applyAlignment="1">
      <alignment horizontal="left"/>
    </xf>
    <xf numFmtId="0" fontId="0" fillId="0" borderId="24" xfId="0" applyNumberFormat="1" applyBorder="1" applyAlignment="1">
      <alignment horizontal="center" vertical="center"/>
    </xf>
    <xf numFmtId="0" fontId="0" fillId="0" borderId="25" xfId="0" applyNumberFormat="1" applyBorder="1" applyAlignment="1">
      <alignment horizontal="center" vertical="center"/>
    </xf>
    <xf numFmtId="10" fontId="0" fillId="0" borderId="23" xfId="0" applyNumberFormat="1" applyBorder="1" applyAlignment="1">
      <alignment horizontal="center" vertical="center"/>
    </xf>
    <xf numFmtId="0" fontId="0" fillId="0" borderId="14" xfId="0" applyNumberFormat="1" applyBorder="1" applyAlignment="1">
      <alignment horizontal="center" vertical="center"/>
    </xf>
    <xf numFmtId="0" fontId="0" fillId="0" borderId="19" xfId="0" applyNumberFormat="1" applyBorder="1" applyAlignment="1">
      <alignment horizontal="center" vertical="center"/>
    </xf>
    <xf numFmtId="0" fontId="16" fillId="0" borderId="0" xfId="0" applyFont="1" applyAlignment="1">
      <alignment horizontal="center" vertical="center"/>
    </xf>
    <xf numFmtId="0" fontId="16" fillId="0" borderId="0" xfId="0" applyFont="1" applyAlignment="1">
      <alignment horizontal="center" vertical="center"/>
    </xf>
    <xf numFmtId="0" fontId="0" fillId="5" borderId="0" xfId="0" applyFill="1"/>
    <xf numFmtId="0" fontId="0" fillId="5" borderId="15" xfId="0" applyFill="1" applyBorder="1"/>
    <xf numFmtId="0" fontId="0" fillId="0" borderId="0" xfId="0" applyBorder="1"/>
    <xf numFmtId="0" fontId="0" fillId="5" borderId="14" xfId="0" applyFill="1" applyBorder="1"/>
    <xf numFmtId="0" fontId="16" fillId="0" borderId="0" xfId="0" applyFont="1" applyBorder="1" applyAlignment="1">
      <alignment horizontal="center" vertical="center"/>
    </xf>
    <xf numFmtId="0" fontId="18" fillId="5" borderId="14" xfId="0" applyFont="1" applyFill="1" applyBorder="1"/>
    <xf numFmtId="10" fontId="0" fillId="0" borderId="24" xfId="0" applyNumberFormat="1" applyBorder="1" applyAlignment="1">
      <alignment horizontal="center" vertical="center"/>
    </xf>
    <xf numFmtId="10" fontId="0" fillId="0" borderId="14" xfId="0" applyNumberFormat="1" applyBorder="1" applyAlignment="1">
      <alignment horizontal="center" vertical="center"/>
    </xf>
    <xf numFmtId="10" fontId="0" fillId="0" borderId="19" xfId="0" applyNumberFormat="1" applyBorder="1" applyAlignment="1">
      <alignment horizontal="center" vertical="center"/>
    </xf>
    <xf numFmtId="0" fontId="0" fillId="5" borderId="21" xfId="0" applyFill="1" applyBorder="1" applyAlignment="1">
      <alignment vertical="center" wrapText="1"/>
    </xf>
    <xf numFmtId="0" fontId="0" fillId="5" borderId="20" xfId="0" applyFill="1" applyBorder="1" applyAlignment="1">
      <alignment vertical="center" wrapText="1"/>
    </xf>
    <xf numFmtId="0" fontId="0" fillId="5" borderId="16" xfId="0" applyFill="1" applyBorder="1" applyAlignment="1">
      <alignment vertical="center" wrapText="1"/>
    </xf>
    <xf numFmtId="0" fontId="0" fillId="5" borderId="0" xfId="0" applyFill="1" applyAlignment="1">
      <alignment wrapText="1"/>
    </xf>
    <xf numFmtId="0" fontId="15" fillId="5" borderId="0" xfId="0" applyFont="1" applyFill="1"/>
    <xf numFmtId="9" fontId="3" fillId="0" borderId="22" xfId="0" applyNumberFormat="1" applyFont="1" applyBorder="1" applyAlignment="1">
      <alignment horizontal="center" vertical="center"/>
    </xf>
    <xf numFmtId="9" fontId="3" fillId="0" borderId="26" xfId="0" applyNumberFormat="1" applyFont="1" applyBorder="1" applyAlignment="1">
      <alignment horizontal="center" vertical="center"/>
    </xf>
    <xf numFmtId="9" fontId="3" fillId="0" borderId="17" xfId="0" applyNumberFormat="1" applyFont="1" applyBorder="1" applyAlignment="1">
      <alignment horizontal="center" vertical="center"/>
    </xf>
    <xf numFmtId="0" fontId="0" fillId="5" borderId="0" xfId="0" applyFill="1" applyBorder="1"/>
    <xf numFmtId="0" fontId="20" fillId="3" borderId="0" xfId="0" applyFont="1" applyFill="1"/>
    <xf numFmtId="0" fontId="0" fillId="5" borderId="24" xfId="0" applyFill="1" applyBorder="1" applyAlignment="1">
      <alignment vertical="center" wrapText="1"/>
    </xf>
    <xf numFmtId="0" fontId="0" fillId="5" borderId="0" xfId="0" applyFill="1" applyAlignment="1">
      <alignment vertical="center" wrapText="1"/>
    </xf>
    <xf numFmtId="0" fontId="0" fillId="5" borderId="15" xfId="0" applyFill="1" applyBorder="1" applyAlignment="1">
      <alignment vertical="center" wrapText="1"/>
    </xf>
    <xf numFmtId="9" fontId="0" fillId="0" borderId="0" xfId="0" applyNumberFormat="1" applyAlignment="1">
      <alignment horizontal="center" vertical="center"/>
    </xf>
    <xf numFmtId="0" fontId="3" fillId="5" borderId="22" xfId="0" applyFont="1" applyFill="1" applyBorder="1" applyAlignment="1">
      <alignment vertical="center" wrapText="1"/>
    </xf>
    <xf numFmtId="0" fontId="3" fillId="6" borderId="0" xfId="0" applyFont="1" applyFill="1" applyAlignment="1">
      <alignment wrapText="1"/>
    </xf>
    <xf numFmtId="0" fontId="3" fillId="6" borderId="0" xfId="0" applyFont="1" applyFill="1" applyAlignment="1">
      <alignment horizontal="center" vertical="center" wrapText="1"/>
    </xf>
    <xf numFmtId="0" fontId="3" fillId="6" borderId="0" xfId="0" applyFont="1" applyFill="1" applyBorder="1" applyAlignment="1">
      <alignment horizontal="center" vertical="center" wrapText="1"/>
    </xf>
    <xf numFmtId="0" fontId="0" fillId="6" borderId="0" xfId="0" applyFill="1" applyBorder="1"/>
    <xf numFmtId="0" fontId="0" fillId="5" borderId="14" xfId="0" applyFill="1" applyBorder="1" applyAlignment="1">
      <alignment vertical="center" wrapText="1"/>
    </xf>
    <xf numFmtId="9" fontId="0" fillId="0" borderId="0" xfId="2" applyFont="1"/>
    <xf numFmtId="9" fontId="3" fillId="0" borderId="0" xfId="2" applyFont="1"/>
    <xf numFmtId="0" fontId="19" fillId="5" borderId="0" xfId="0" applyFont="1" applyFill="1" applyBorder="1" applyAlignment="1">
      <alignment horizontal="center" wrapText="1"/>
    </xf>
    <xf numFmtId="0" fontId="3" fillId="0" borderId="25" xfId="0" applyFont="1" applyBorder="1"/>
    <xf numFmtId="43" fontId="3" fillId="0" borderId="25" xfId="0" applyNumberFormat="1" applyFont="1" applyBorder="1"/>
    <xf numFmtId="9" fontId="3" fillId="0" borderId="25" xfId="2" applyFont="1" applyBorder="1"/>
    <xf numFmtId="0" fontId="16" fillId="0" borderId="0" xfId="0" applyFont="1" applyBorder="1" applyAlignment="1">
      <alignment horizontal="center" vertical="center"/>
    </xf>
    <xf numFmtId="43" fontId="0" fillId="0" borderId="25" xfId="0" applyNumberFormat="1" applyFont="1" applyBorder="1"/>
    <xf numFmtId="0" fontId="0" fillId="0" borderId="0" xfId="0" applyFont="1" applyAlignment="1"/>
    <xf numFmtId="0" fontId="0" fillId="3" borderId="0" xfId="0" applyFill="1" applyBorder="1"/>
    <xf numFmtId="43" fontId="21" fillId="2" borderId="0" xfId="0" applyNumberFormat="1" applyFont="1" applyFill="1" applyAlignment="1">
      <alignment horizontal="center" vertical="center"/>
    </xf>
    <xf numFmtId="0" fontId="21" fillId="2" borderId="0" xfId="0" applyFont="1" applyFill="1" applyAlignment="1">
      <alignment horizontal="center" vertical="center"/>
    </xf>
    <xf numFmtId="2" fontId="23" fillId="2" borderId="0" xfId="0" applyNumberFormat="1" applyFont="1" applyFill="1" applyAlignment="1">
      <alignment horizontal="center" vertical="center"/>
    </xf>
    <xf numFmtId="0" fontId="19" fillId="5" borderId="0" xfId="0" applyFont="1" applyFill="1"/>
    <xf numFmtId="180" fontId="0" fillId="0" borderId="0" xfId="0" applyNumberFormat="1"/>
    <xf numFmtId="170" fontId="3" fillId="0" borderId="0" xfId="2" applyNumberFormat="1" applyFont="1"/>
    <xf numFmtId="0" fontId="3" fillId="5" borderId="0" xfId="0" applyFont="1" applyFill="1"/>
    <xf numFmtId="0" fontId="20" fillId="5" borderId="21" xfId="0" applyFont="1" applyFill="1" applyBorder="1" applyAlignment="1">
      <alignment vertical="center" wrapText="1"/>
    </xf>
    <xf numFmtId="0" fontId="20" fillId="5" borderId="20" xfId="0" applyFont="1" applyFill="1" applyBorder="1" applyAlignment="1">
      <alignment vertical="center" wrapText="1"/>
    </xf>
    <xf numFmtId="0" fontId="3" fillId="0" borderId="0" xfId="0" applyFont="1" applyBorder="1"/>
    <xf numFmtId="9" fontId="3" fillId="0" borderId="0" xfId="0" applyNumberFormat="1" applyFont="1" applyBorder="1"/>
    <xf numFmtId="170" fontId="3" fillId="0" borderId="0" xfId="0" applyNumberFormat="1" applyFont="1" applyBorder="1"/>
    <xf numFmtId="0" fontId="0" fillId="0" borderId="30" xfId="0" applyBorder="1"/>
    <xf numFmtId="9" fontId="0" fillId="0" borderId="30" xfId="2" applyFont="1" applyBorder="1"/>
    <xf numFmtId="43" fontId="0" fillId="0" borderId="30" xfId="0" applyNumberFormat="1" applyBorder="1"/>
    <xf numFmtId="180" fontId="0" fillId="0" borderId="30" xfId="0" applyNumberFormat="1" applyBorder="1"/>
    <xf numFmtId="170" fontId="3" fillId="0" borderId="30" xfId="2" applyNumberFormat="1" applyFont="1" applyBorder="1"/>
    <xf numFmtId="43" fontId="3" fillId="0" borderId="0" xfId="0" applyNumberFormat="1" applyFont="1" applyBorder="1"/>
    <xf numFmtId="43" fontId="0" fillId="0" borderId="30" xfId="1" applyFont="1" applyBorder="1"/>
    <xf numFmtId="43" fontId="0" fillId="0" borderId="31" xfId="0" applyNumberFormat="1" applyFont="1" applyBorder="1"/>
    <xf numFmtId="170" fontId="22" fillId="2" borderId="0" xfId="0" applyNumberFormat="1" applyFont="1" applyFill="1" applyAlignment="1">
      <alignment horizontal="center" vertical="center"/>
    </xf>
    <xf numFmtId="0" fontId="21" fillId="2" borderId="0" xfId="0" applyFont="1" applyFill="1" applyAlignment="1">
      <alignment horizontal="center" vertical="center" wrapText="1"/>
    </xf>
    <xf numFmtId="0" fontId="0" fillId="2" borderId="0" xfId="0" applyFill="1" applyAlignment="1">
      <alignment horizontal="center" vertical="center" wrapText="1"/>
    </xf>
    <xf numFmtId="0" fontId="19" fillId="5" borderId="0" xfId="0" applyFont="1" applyFill="1" applyAlignment="1">
      <alignment wrapText="1"/>
    </xf>
    <xf numFmtId="0" fontId="20" fillId="5" borderId="0" xfId="0" applyFont="1" applyFill="1" applyAlignment="1">
      <alignment wrapText="1"/>
    </xf>
    <xf numFmtId="0" fontId="12" fillId="5" borderId="4" xfId="0" applyFont="1" applyFill="1" applyBorder="1" applyAlignment="1">
      <alignment vertical="center"/>
    </xf>
    <xf numFmtId="0" fontId="12" fillId="5" borderId="8" xfId="0" applyFont="1" applyFill="1" applyBorder="1" applyAlignment="1">
      <alignment vertical="center"/>
    </xf>
    <xf numFmtId="0" fontId="12" fillId="5" borderId="10" xfId="0" applyFont="1" applyFill="1" applyBorder="1" applyAlignment="1">
      <alignment vertical="center"/>
    </xf>
    <xf numFmtId="0" fontId="12" fillId="5" borderId="13" xfId="0" applyFont="1" applyFill="1" applyBorder="1" applyAlignment="1">
      <alignment vertical="center" wrapText="1"/>
    </xf>
    <xf numFmtId="0" fontId="12" fillId="5" borderId="7" xfId="0" applyFont="1" applyFill="1" applyBorder="1" applyAlignment="1">
      <alignment vertical="center" wrapText="1"/>
    </xf>
    <xf numFmtId="0" fontId="12" fillId="5" borderId="7" xfId="0" applyFont="1" applyFill="1" applyBorder="1" applyAlignment="1">
      <alignment vertical="center"/>
    </xf>
    <xf numFmtId="0" fontId="12" fillId="5" borderId="12" xfId="0" applyFont="1" applyFill="1" applyBorder="1" applyAlignment="1">
      <alignment vertical="center" wrapText="1"/>
    </xf>
    <xf numFmtId="0" fontId="12" fillId="6" borderId="16" xfId="0" applyFont="1" applyFill="1" applyBorder="1" applyAlignment="1">
      <alignment vertical="center"/>
    </xf>
    <xf numFmtId="0" fontId="11" fillId="6" borderId="16" xfId="0" applyFont="1" applyFill="1" applyBorder="1" applyAlignment="1">
      <alignment vertical="center"/>
    </xf>
    <xf numFmtId="0" fontId="11" fillId="6" borderId="16" xfId="0" applyFont="1" applyFill="1" applyBorder="1" applyAlignment="1">
      <alignment vertical="center" wrapText="1"/>
    </xf>
    <xf numFmtId="3" fontId="11" fillId="6" borderId="16" xfId="0" applyNumberFormat="1" applyFont="1" applyFill="1" applyBorder="1" applyAlignment="1">
      <alignment vertical="center"/>
    </xf>
    <xf numFmtId="0" fontId="11" fillId="6" borderId="16" xfId="3" applyFont="1" applyFill="1" applyBorder="1" applyAlignment="1">
      <alignment vertical="center"/>
    </xf>
    <xf numFmtId="4" fontId="11" fillId="6" borderId="16" xfId="0" applyNumberFormat="1" applyFont="1" applyFill="1" applyBorder="1" applyAlignment="1">
      <alignment vertical="center"/>
    </xf>
    <xf numFmtId="3" fontId="11" fillId="6" borderId="16" xfId="3" applyNumberFormat="1" applyFont="1" applyFill="1" applyBorder="1"/>
    <xf numFmtId="4" fontId="11" fillId="6" borderId="16" xfId="3" applyNumberFormat="1" applyFont="1" applyFill="1" applyBorder="1" applyAlignment="1">
      <alignment vertical="center"/>
    </xf>
    <xf numFmtId="0" fontId="12" fillId="3" borderId="16" xfId="0" applyFont="1" applyFill="1" applyBorder="1" applyAlignment="1">
      <alignment vertical="center" wrapText="1"/>
    </xf>
    <xf numFmtId="4" fontId="12" fillId="3" borderId="16" xfId="0" applyNumberFormat="1" applyFont="1" applyFill="1" applyBorder="1" applyAlignment="1">
      <alignment vertical="center" wrapText="1"/>
    </xf>
    <xf numFmtId="43" fontId="12" fillId="3" borderId="16" xfId="1" applyFont="1" applyFill="1" applyBorder="1" applyAlignment="1">
      <alignment vertical="center" wrapText="1"/>
    </xf>
    <xf numFmtId="43" fontId="12" fillId="3" borderId="16" xfId="1" applyFont="1" applyFill="1" applyBorder="1"/>
    <xf numFmtId="0" fontId="7" fillId="2" borderId="23" xfId="0" applyFont="1" applyFill="1" applyBorder="1" applyAlignment="1">
      <alignment vertical="center"/>
    </xf>
    <xf numFmtId="0" fontId="13" fillId="2" borderId="22" xfId="0" applyFont="1" applyFill="1" applyBorder="1" applyAlignment="1">
      <alignment vertical="center"/>
    </xf>
    <xf numFmtId="0" fontId="13" fillId="2" borderId="23" xfId="0" applyFont="1" applyFill="1" applyBorder="1" applyAlignment="1">
      <alignment vertical="center"/>
    </xf>
    <xf numFmtId="0" fontId="13" fillId="2" borderId="24" xfId="0" applyFont="1" applyFill="1" applyBorder="1" applyAlignment="1">
      <alignment vertical="center" wrapText="1"/>
    </xf>
    <xf numFmtId="0" fontId="7" fillId="2" borderId="23" xfId="0" applyFont="1" applyFill="1" applyBorder="1" applyAlignment="1">
      <alignment vertical="center" wrapText="1"/>
    </xf>
    <xf numFmtId="0" fontId="13" fillId="2" borderId="25" xfId="0" applyFont="1" applyFill="1" applyBorder="1" applyAlignment="1">
      <alignment vertical="center"/>
    </xf>
    <xf numFmtId="43" fontId="7" fillId="2" borderId="23" xfId="1" applyFont="1" applyFill="1" applyBorder="1" applyAlignment="1">
      <alignment vertical="center" wrapText="1"/>
    </xf>
    <xf numFmtId="3" fontId="13" fillId="2" borderId="22" xfId="0" applyNumberFormat="1" applyFont="1" applyFill="1" applyBorder="1" applyAlignment="1">
      <alignment vertical="center"/>
    </xf>
    <xf numFmtId="3" fontId="13" fillId="2" borderId="23" xfId="0" applyNumberFormat="1" applyFont="1" applyFill="1" applyBorder="1" applyAlignment="1">
      <alignment horizontal="center" vertical="center"/>
    </xf>
    <xf numFmtId="3" fontId="13" fillId="2" borderId="23" xfId="0" applyNumberFormat="1" applyFont="1" applyFill="1" applyBorder="1" applyAlignment="1">
      <alignment vertical="center"/>
    </xf>
    <xf numFmtId="0" fontId="13" fillId="2" borderId="23" xfId="0" applyFont="1" applyFill="1" applyBorder="1" applyAlignment="1">
      <alignment vertical="center" wrapText="1"/>
    </xf>
    <xf numFmtId="3" fontId="12" fillId="3" borderId="16" xfId="0" applyNumberFormat="1" applyFont="1" applyFill="1" applyBorder="1" applyAlignment="1">
      <alignment horizontal="center" vertical="center"/>
    </xf>
    <xf numFmtId="0" fontId="12" fillId="6" borderId="20" xfId="0" applyFont="1" applyFill="1" applyBorder="1" applyAlignment="1">
      <alignment vertical="center"/>
    </xf>
    <xf numFmtId="0" fontId="0" fillId="6" borderId="0" xfId="0" applyFill="1"/>
    <xf numFmtId="9" fontId="0" fillId="6" borderId="0" xfId="0" applyNumberFormat="1" applyFill="1"/>
    <xf numFmtId="43" fontId="0" fillId="6" borderId="0" xfId="1" applyFont="1" applyFill="1"/>
    <xf numFmtId="0" fontId="0" fillId="6" borderId="0" xfId="0" applyFill="1" applyAlignment="1">
      <alignment vertical="center"/>
    </xf>
    <xf numFmtId="0" fontId="0" fillId="6" borderId="0" xfId="0" applyFill="1" applyAlignment="1">
      <alignment horizontal="center" vertical="center"/>
    </xf>
    <xf numFmtId="0" fontId="19" fillId="6" borderId="0" xfId="0" applyFont="1" applyFill="1"/>
    <xf numFmtId="9" fontId="19" fillId="6" borderId="0" xfId="0" applyNumberFormat="1" applyFont="1" applyFill="1"/>
    <xf numFmtId="43" fontId="19" fillId="6" borderId="0" xfId="1" applyFont="1" applyFill="1"/>
    <xf numFmtId="0" fontId="19" fillId="6" borderId="0" xfId="0" applyFont="1" applyFill="1" applyAlignment="1">
      <alignment vertical="center"/>
    </xf>
    <xf numFmtId="0" fontId="19" fillId="6" borderId="0" xfId="0" applyFont="1" applyFill="1" applyAlignment="1">
      <alignment horizontal="center" vertical="center"/>
    </xf>
    <xf numFmtId="0" fontId="12" fillId="7" borderId="18" xfId="0" applyFont="1" applyFill="1" applyBorder="1" applyAlignment="1">
      <alignment vertical="center" wrapText="1"/>
    </xf>
    <xf numFmtId="0" fontId="12" fillId="7" borderId="18" xfId="0" applyFont="1" applyFill="1" applyBorder="1" applyAlignment="1">
      <alignment vertical="center"/>
    </xf>
    <xf numFmtId="0" fontId="19" fillId="5" borderId="18" xfId="0" applyFont="1" applyFill="1" applyBorder="1"/>
    <xf numFmtId="0" fontId="12" fillId="7" borderId="2" xfId="0" applyFont="1" applyFill="1" applyBorder="1" applyAlignment="1">
      <alignment vertical="center"/>
    </xf>
    <xf numFmtId="0" fontId="12" fillId="7" borderId="1" xfId="0" applyFont="1" applyFill="1" applyBorder="1" applyAlignment="1">
      <alignment vertical="center"/>
    </xf>
    <xf numFmtId="0" fontId="12" fillId="7" borderId="7" xfId="0" applyFont="1" applyFill="1" applyBorder="1" applyAlignment="1">
      <alignment vertical="center"/>
    </xf>
    <xf numFmtId="0" fontId="12" fillId="5" borderId="4" xfId="0" applyFont="1" applyFill="1" applyBorder="1" applyAlignment="1">
      <alignment horizontal="center"/>
    </xf>
    <xf numFmtId="0" fontId="12" fillId="5" borderId="0" xfId="0" applyFont="1" applyFill="1" applyAlignment="1">
      <alignment horizontal="center"/>
    </xf>
    <xf numFmtId="0" fontId="12" fillId="7" borderId="11" xfId="0" applyFont="1" applyFill="1" applyBorder="1" applyAlignment="1">
      <alignment vertical="center"/>
    </xf>
    <xf numFmtId="0" fontId="12" fillId="7" borderId="6" xfId="0" applyFont="1" applyFill="1" applyBorder="1" applyAlignment="1">
      <alignment vertical="center"/>
    </xf>
    <xf numFmtId="0" fontId="24"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0" fillId="8" borderId="0" xfId="0" applyFill="1"/>
    <xf numFmtId="0" fontId="25" fillId="8" borderId="0" xfId="0" applyFont="1" applyFill="1"/>
    <xf numFmtId="0" fontId="2" fillId="8" borderId="0" xfId="0" applyFont="1" applyFill="1"/>
    <xf numFmtId="0" fontId="26" fillId="8" borderId="0" xfId="0" applyFont="1" applyFill="1"/>
    <xf numFmtId="0" fontId="3" fillId="8" borderId="0" xfId="0" applyFont="1" applyFill="1"/>
  </cellXfs>
  <cellStyles count="4">
    <cellStyle name="Comma" xfId="1" builtinId="3"/>
    <cellStyle name="Hyperlink" xfId="3" builtinId="8"/>
    <cellStyle name="Normal" xfId="0" builtinId="0"/>
    <cellStyle name="Percent" xfId="2" builtinId="5"/>
  </cellStyles>
  <dxfs count="186">
    <dxf>
      <fill>
        <patternFill>
          <bgColor rgb="FFFF0000"/>
        </patternFill>
      </fill>
    </dxf>
    <dxf>
      <fill>
        <patternFill>
          <bgColor rgb="FFFF0000"/>
        </patternFill>
      </fill>
    </dxf>
    <dxf>
      <font>
        <b/>
        <i val="0"/>
        <strike val="0"/>
        <condense val="0"/>
        <extend val="0"/>
        <outline val="0"/>
        <shadow val="0"/>
        <u val="none"/>
        <vertAlign val="baseline"/>
        <sz val="11"/>
        <color auto="1"/>
        <name val="Arial"/>
        <family val="2"/>
        <scheme val="none"/>
      </font>
      <fill>
        <patternFill patternType="solid">
          <fgColor theme="1"/>
          <bgColor theme="0" tint="-0.249977111117893"/>
        </patternFill>
      </fill>
      <alignment horizontal="general" vertical="center" textRotation="0" wrapText="0" indent="0" justifyLastLine="0" shrinkToFit="0" readingOrder="0"/>
      <border diagonalUp="0" diagonalDown="0" outline="0">
        <left style="medium">
          <color rgb="FF000000"/>
        </left>
        <right style="medium">
          <color rgb="FF000000"/>
        </right>
        <top/>
        <bottom/>
      </border>
    </dxf>
    <dxf>
      <font>
        <b/>
        <i val="0"/>
        <strike val="0"/>
        <condense val="0"/>
        <extend val="0"/>
        <outline val="0"/>
        <shadow val="0"/>
        <u val="none"/>
        <vertAlign val="baseline"/>
        <sz val="11"/>
        <color auto="1"/>
        <name val="Arial"/>
        <family val="2"/>
        <scheme val="none"/>
      </font>
      <fill>
        <patternFill patternType="solid">
          <fgColor theme="1"/>
          <bgColor theme="0" tint="-0.249977111117893"/>
        </patternFill>
      </fill>
      <alignment horizontal="general" vertical="center" textRotation="0" wrapText="0" indent="0" justifyLastLine="0" shrinkToFit="0" readingOrder="0"/>
      <border diagonalUp="0" diagonalDown="0" outline="0">
        <left style="medium">
          <color rgb="FF000000"/>
        </left>
        <right style="medium">
          <color rgb="FF000000"/>
        </right>
        <top/>
        <bottom/>
      </border>
    </dxf>
    <dxf>
      <font>
        <b/>
        <i val="0"/>
        <strike val="0"/>
        <condense val="0"/>
        <extend val="0"/>
        <outline val="0"/>
        <shadow val="0"/>
        <u val="none"/>
        <vertAlign val="baseline"/>
        <sz val="11"/>
        <color auto="1"/>
        <name val="Arial"/>
        <family val="2"/>
        <scheme val="none"/>
      </font>
      <fill>
        <patternFill patternType="solid">
          <fgColor theme="1"/>
          <bgColor theme="0" tint="-0.249977111117893"/>
        </patternFill>
      </fill>
      <alignment horizontal="general" vertical="center" textRotation="0" wrapText="0" indent="0" justifyLastLine="0" shrinkToFit="0" readingOrder="0"/>
      <border diagonalUp="0" diagonalDown="0" outline="0">
        <left style="medium">
          <color rgb="FF000000"/>
        </left>
        <right style="medium">
          <color rgb="FF000000"/>
        </right>
        <top/>
        <bottom/>
      </border>
    </dxf>
    <dxf>
      <font>
        <strike val="0"/>
        <outline val="0"/>
        <shadow val="0"/>
        <u val="none"/>
        <vertAlign val="baseline"/>
        <sz val="11"/>
        <color auto="1"/>
      </font>
      <fill>
        <patternFill>
          <bgColor theme="0" tint="-0.249977111117893"/>
        </patternFill>
      </fill>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Arial"/>
        <family val="2"/>
        <scheme val="none"/>
      </font>
      <numFmt numFmtId="3" formatCode="#,##0"/>
      <fill>
        <patternFill patternType="solid">
          <fgColor indexed="64"/>
          <bgColor theme="3" tint="0.89999084444715716"/>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0"/>
        <name val="Arial"/>
        <family val="2"/>
        <scheme val="none"/>
      </font>
      <fill>
        <patternFill patternType="solid">
          <fgColor indexed="64"/>
          <bgColor theme="3" tint="9.9978637043366805E-2"/>
        </patternFill>
      </fill>
    </dxf>
    <dxf>
      <font>
        <b val="0"/>
        <i val="0"/>
        <strike val="0"/>
        <condense val="0"/>
        <extend val="0"/>
        <outline val="0"/>
        <shadow val="0"/>
        <u val="none"/>
        <vertAlign val="baseline"/>
        <sz val="11"/>
        <color theme="0"/>
        <name val="Arial"/>
        <family val="2"/>
        <scheme val="none"/>
      </font>
      <fill>
        <patternFill patternType="solid">
          <fgColor indexed="64"/>
          <bgColor theme="3" tint="9.9978637043366805E-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0"/>
        <name val="Arial"/>
        <family val="2"/>
        <scheme val="none"/>
      </font>
      <numFmt numFmtId="3" formatCode="#,##0"/>
      <fill>
        <patternFill patternType="solid">
          <fgColor indexed="64"/>
          <bgColor theme="3" tint="9.9978637043366805E-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0"/>
        <name val="Arial"/>
        <family val="2"/>
        <scheme val="none"/>
      </font>
      <numFmt numFmtId="3" formatCode="#,##0"/>
      <fill>
        <patternFill patternType="solid">
          <fgColor indexed="64"/>
          <bgColor theme="3" tint="9.9978637043366805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0"/>
        <name val="Arial"/>
        <family val="2"/>
        <scheme val="none"/>
      </font>
      <numFmt numFmtId="3" formatCode="#,##0"/>
      <fill>
        <patternFill patternType="solid">
          <fgColor indexed="64"/>
          <bgColor theme="3" tint="9.9978637043366805E-2"/>
        </patternFill>
      </fill>
      <alignment horizontal="general" vertical="center"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0"/>
        <name val="Arial"/>
        <family val="2"/>
        <scheme val="none"/>
      </font>
      <fill>
        <patternFill patternType="solid">
          <fgColor indexed="64"/>
          <bgColor theme="3" tint="9.9978637043366805E-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0"/>
        <name val="Arial"/>
        <family val="2"/>
        <scheme val="none"/>
      </font>
      <fill>
        <patternFill patternType="solid">
          <fgColor indexed="64"/>
          <bgColor theme="3" tint="9.9978637043366805E-2"/>
        </patternFill>
      </fill>
      <alignment horizontal="general" vertical="center" textRotation="0" wrapText="0" indent="0" justifyLastLine="0" shrinkToFit="0" readingOrder="0"/>
      <border diagonalUp="0" diagonalDown="0" outline="0">
        <left/>
        <right/>
        <top style="thin">
          <color indexed="64"/>
        </top>
        <bottom/>
      </border>
    </dxf>
    <dxf>
      <font>
        <b/>
        <i val="0"/>
        <strike val="0"/>
        <condense val="0"/>
        <extend val="0"/>
        <outline val="0"/>
        <shadow val="0"/>
        <u val="none"/>
        <vertAlign val="baseline"/>
        <sz val="11"/>
        <color theme="0"/>
        <name val="Arial"/>
        <family val="2"/>
        <scheme val="none"/>
      </font>
      <fill>
        <patternFill patternType="solid">
          <fgColor indexed="64"/>
          <bgColor theme="3" tint="9.9978637043366805E-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0"/>
        <name val="Arial"/>
        <family val="2"/>
        <scheme val="none"/>
      </font>
      <fill>
        <patternFill patternType="solid">
          <fgColor indexed="64"/>
          <bgColor theme="3" tint="9.9978637043366805E-2"/>
        </patternFill>
      </fill>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0"/>
        <name val="Arial"/>
        <family val="2"/>
        <scheme val="none"/>
      </font>
      <fill>
        <patternFill patternType="solid">
          <fgColor indexed="64"/>
          <bgColor theme="3" tint="9.9978637043366805E-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0"/>
        <name val="Arial"/>
        <family val="2"/>
        <scheme val="none"/>
      </font>
      <fill>
        <patternFill patternType="solid">
          <fgColor indexed="64"/>
          <bgColor theme="3" tint="9.9978637043366805E-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0"/>
        <name val="Arial"/>
        <family val="2"/>
        <scheme val="none"/>
      </font>
      <fill>
        <patternFill patternType="solid">
          <fgColor indexed="64"/>
          <bgColor theme="3" tint="9.9978637043366805E-2"/>
        </patternFill>
      </fill>
      <alignment horizontal="general" vertical="center"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0"/>
        <name val="Arial"/>
        <family val="2"/>
        <scheme val="none"/>
      </font>
      <fill>
        <patternFill patternType="solid">
          <fgColor indexed="64"/>
          <bgColor theme="3" tint="9.9978637043366805E-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auto="1"/>
        <name val="Arial"/>
        <family val="2"/>
        <scheme val="none"/>
      </font>
      <fill>
        <patternFill patternType="solid">
          <fgColor indexed="64"/>
          <bgColor theme="3" tint="0.8999908444471571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family val="2"/>
        <scheme val="none"/>
      </font>
      <fill>
        <patternFill patternType="solid">
          <fgColor indexed="64"/>
          <bgColor theme="3" tint="0.8999908444471571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1"/>
        <color auto="1"/>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family val="2"/>
        <scheme val="none"/>
      </font>
      <fill>
        <patternFill patternType="solid">
          <fgColor indexed="64"/>
          <bgColor theme="0" tint="-0.249977111117893"/>
        </patternFill>
      </fill>
      <alignment horizontal="general" vertical="center" textRotation="0" wrapText="1" indent="0" justifyLastLine="0" shrinkToFit="0" readingOrder="0"/>
      <border diagonalUp="0" diagonalDown="0" outline="0">
        <left style="medium">
          <color rgb="FF000000"/>
        </left>
        <right style="medium">
          <color rgb="FF000000"/>
        </right>
        <top/>
        <bottom/>
      </border>
    </dxf>
    <dxf>
      <font>
        <b/>
        <i val="0"/>
        <strike val="0"/>
        <condense val="0"/>
        <extend val="0"/>
        <outline val="0"/>
        <shadow val="0"/>
        <u val="none"/>
        <vertAlign val="baseline"/>
        <sz val="11"/>
        <color auto="1"/>
        <name val="Arial"/>
        <family val="2"/>
        <scheme val="none"/>
      </font>
      <fill>
        <patternFill patternType="solid">
          <fgColor indexed="64"/>
          <bgColor theme="0" tint="-0.249977111117893"/>
        </patternFill>
      </fill>
      <alignment horizontal="general" vertical="center" textRotation="0" wrapText="0" indent="0" justifyLastLine="0" shrinkToFit="0" readingOrder="0"/>
      <border diagonalUp="0" diagonalDown="0" outline="0">
        <left style="medium">
          <color rgb="FF000000"/>
        </left>
        <right style="medium">
          <color rgb="FF000000"/>
        </right>
        <top/>
        <bottom/>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outline="0">
        <left style="medium">
          <color rgb="FF000000"/>
        </left>
        <right/>
        <top style="medium">
          <color rgb="FF000000"/>
        </top>
        <bottom style="medium">
          <color rgb="FF000000"/>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strike val="0"/>
        <outline val="0"/>
        <shadow val="0"/>
        <u val="none"/>
        <vertAlign val="baseline"/>
        <sz val="11"/>
        <color auto="1"/>
        <name val="Aptos Narrow"/>
        <family val="2"/>
        <scheme val="minor"/>
      </font>
      <fill>
        <patternFill patternType="solid">
          <fgColor indexed="64"/>
          <bgColor theme="0" tint="-0.249977111117893"/>
        </patternFill>
      </fill>
    </dxf>
    <dxf>
      <font>
        <strike val="0"/>
        <outline val="0"/>
        <shadow val="0"/>
        <u val="none"/>
        <vertAlign val="baseline"/>
        <sz val="11"/>
        <color auto="1"/>
        <name val="Aptos Narrow"/>
        <family val="2"/>
        <scheme val="minor"/>
      </font>
      <fill>
        <patternFill patternType="solid">
          <fgColor indexed="64"/>
          <bgColor theme="0" tint="-0.249977111117893"/>
        </patternFill>
      </fill>
    </dxf>
    <dxf>
      <font>
        <strike val="0"/>
        <outline val="0"/>
        <shadow val="0"/>
        <u val="none"/>
        <vertAlign val="baseline"/>
        <sz val="11"/>
        <color auto="1"/>
        <name val="Aptos Narrow"/>
        <family val="2"/>
        <scheme val="minor"/>
      </font>
      <fill>
        <patternFill patternType="solid">
          <fgColor indexed="64"/>
          <bgColor theme="0" tint="-0.249977111117893"/>
        </patternFill>
      </fill>
    </dxf>
    <dxf>
      <font>
        <b/>
        <i val="0"/>
        <strike val="0"/>
        <condense val="0"/>
        <extend val="0"/>
        <outline val="0"/>
        <shadow val="0"/>
        <u val="none"/>
        <vertAlign val="baseline"/>
        <sz val="11"/>
        <color auto="1"/>
        <name val="Arial"/>
        <family val="2"/>
        <scheme val="none"/>
      </font>
      <fill>
        <patternFill patternType="solid">
          <fgColor indexed="64"/>
          <bgColor theme="0" tint="-0.249977111117893"/>
        </patternFill>
      </fill>
      <alignment horizontal="general" vertical="center" textRotation="0" wrapText="0" indent="0" justifyLastLine="0" shrinkToFit="0" readingOrder="0"/>
    </dxf>
    <dxf>
      <font>
        <strike val="0"/>
        <outline val="0"/>
        <shadow val="0"/>
        <u val="none"/>
        <vertAlign val="baseline"/>
        <sz val="11"/>
        <color auto="1"/>
        <name val="Aptos Narrow"/>
        <family val="2"/>
        <scheme val="minor"/>
      </font>
      <fill>
        <patternFill patternType="solid">
          <fgColor indexed="64"/>
          <bgColor theme="0" tint="-0.249977111117893"/>
        </patternFill>
      </fill>
    </dxf>
    <dxf>
      <font>
        <b/>
        <i val="0"/>
        <strike val="0"/>
        <condense val="0"/>
        <extend val="0"/>
        <outline val="0"/>
        <shadow val="0"/>
        <u val="none"/>
        <vertAlign val="baseline"/>
        <sz val="11"/>
        <color theme="1"/>
        <name val="Aptos Narrow"/>
        <family val="2"/>
        <scheme val="minor"/>
      </font>
      <numFmt numFmtId="170" formatCode="0.00000000"/>
    </dxf>
    <dxf>
      <numFmt numFmtId="180" formatCode="_(* #,##0.0000000_);_(* \(#,##0.0000000\);_(* &quot;-&quot;??_);_(@_)"/>
    </dxf>
    <dxf>
      <numFmt numFmtId="35" formatCode="_(* #,##0.00_);_(* \(#,##0.00\);_(* &quot;-&quot;??_);_(@_)"/>
    </dxf>
    <dxf>
      <font>
        <b val="0"/>
        <i val="0"/>
        <strike val="0"/>
        <condense val="0"/>
        <extend val="0"/>
        <outline val="0"/>
        <shadow val="0"/>
        <u val="none"/>
        <vertAlign val="baseline"/>
        <sz val="11"/>
        <color theme="1"/>
        <name val="Aptos Narrow"/>
        <family val="2"/>
        <scheme val="minor"/>
      </font>
    </dxf>
    <dxf>
      <font>
        <strike val="0"/>
        <outline val="0"/>
        <shadow val="0"/>
        <u val="none"/>
        <vertAlign val="baseline"/>
        <sz val="11"/>
        <color auto="1"/>
        <name val="Aptos Narrow"/>
        <family val="2"/>
        <scheme val="minor"/>
      </font>
      <fill>
        <patternFill patternType="solid">
          <fgColor indexed="64"/>
          <bgColor theme="0" tint="-0.249977111117893"/>
        </patternFill>
      </fill>
    </dxf>
    <dxf>
      <font>
        <b val="0"/>
        <i val="0"/>
        <strike val="0"/>
        <condense val="0"/>
        <extend val="0"/>
        <outline val="0"/>
        <shadow val="0"/>
        <u val="none"/>
        <vertAlign val="baseline"/>
        <sz val="11"/>
        <color theme="1"/>
        <name val="Aptos Narrow"/>
        <family val="2"/>
        <scheme val="minor"/>
      </font>
    </dxf>
    <dxf>
      <numFmt numFmtId="35" formatCode="_(* #,##0.00_);_(* \(#,##0.00\);_(*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strike val="0"/>
        <outline val="0"/>
        <shadow val="0"/>
        <u val="none"/>
        <vertAlign val="baseline"/>
        <sz val="11"/>
        <color auto="1"/>
        <name val="Aptos Narrow"/>
        <family val="2"/>
        <scheme val="minor"/>
      </font>
      <fill>
        <patternFill>
          <fgColor indexed="64"/>
          <bgColor theme="0" tint="-0.249977111117893"/>
        </patternFill>
      </fill>
      <alignment horizontal="center" vertical="bottom" textRotation="0" wrapText="1" indent="0" justifyLastLine="0" shrinkToFit="0" readingOrder="0"/>
    </dxf>
    <dxf>
      <font>
        <strike val="0"/>
        <outline val="0"/>
        <shadow val="0"/>
        <u val="none"/>
        <vertAlign val="baseline"/>
        <sz val="11"/>
        <color auto="1"/>
        <name val="Aptos Narrow"/>
        <family val="2"/>
        <scheme val="minor"/>
      </font>
      <fill>
        <patternFill>
          <fgColor indexed="64"/>
          <bgColor theme="0" tint="-0.249977111117893"/>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Aptos Narrow"/>
        <family val="2"/>
        <scheme val="minor"/>
      </font>
    </dxf>
    <dxf>
      <numFmt numFmtId="35" formatCode="_(* #,##0.00_);_(* \(#,##0.00\);_(*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border>
        <left style="thin">
          <color indexed="64"/>
        </left>
      </border>
    </dxf>
    <dxf>
      <border>
        <left style="thin">
          <color indexed="64"/>
        </left>
      </border>
    </dxf>
    <dxf>
      <border>
        <left style="thin">
          <color indexed="64"/>
        </left>
      </border>
    </dxf>
    <dxf>
      <fill>
        <patternFill>
          <bgColor theme="0" tint="-0.249977111117893"/>
        </patternFill>
      </fill>
    </dxf>
    <dxf>
      <font>
        <b/>
      </font>
    </dxf>
    <dxf>
      <alignment wrapText="1"/>
    </dxf>
    <dxf>
      <border>
        <right style="thin">
          <color indexed="64"/>
        </right>
      </border>
    </dxf>
    <dxf>
      <alignment wrapText="1"/>
    </dxf>
    <dxf>
      <numFmt numFmtId="13" formatCode="0%"/>
    </dxf>
    <dxf>
      <alignment vertical="center"/>
    </dxf>
    <dxf>
      <alignment vertical="center"/>
    </dxf>
    <dxf>
      <alignment vertical="center"/>
    </dxf>
    <dxf>
      <alignment vertical="center"/>
    </dxf>
    <dxf>
      <border>
        <right style="thin">
          <color indexed="64"/>
        </right>
      </border>
    </dxf>
    <dxf>
      <font>
        <b/>
      </font>
    </dxf>
    <dxf>
      <font>
        <b/>
      </font>
    </dxf>
    <dxf>
      <fill>
        <patternFill patternType="solid">
          <bgColor theme="0" tint="-0.249977111117893"/>
        </patternFill>
      </fill>
    </dxf>
    <dxf>
      <numFmt numFmtId="13" formatCode="0%"/>
    </dxf>
    <dxf>
      <numFmt numFmtId="14" formatCode="0.00%"/>
    </dxf>
    <dxf>
      <alignment wrapText="1"/>
    </dxf>
    <dxf>
      <alignment wrapText="1"/>
    </dxf>
    <dxf>
      <border>
        <right style="thin">
          <color indexed="64"/>
        </right>
      </border>
    </dxf>
    <dxf>
      <border>
        <left style="thin">
          <color indexed="64"/>
        </left>
      </border>
    </dxf>
    <dxf>
      <border>
        <left style="thin">
          <color indexed="64"/>
        </left>
      </border>
    </dxf>
    <dxf>
      <alignment vertical="center"/>
    </dxf>
    <dxf>
      <alignment horizontal="center"/>
    </dxf>
    <dxf>
      <fill>
        <patternFill patternType="solid">
          <bgColor theme="0" tint="-0.249977111117893"/>
        </patternFill>
      </fill>
    </dxf>
    <dxf>
      <fill>
        <patternFill patternType="solid">
          <bgColor theme="0" tint="-0.249977111117893"/>
        </patternFill>
      </fill>
    </dxf>
    <dxf>
      <border>
        <left style="thin">
          <color indexed="64"/>
        </left>
      </border>
    </dxf>
    <dxf>
      <border>
        <left style="thin">
          <color indexed="64"/>
        </left>
      </border>
    </dxf>
    <dxf>
      <border>
        <left style="thin">
          <color indexed="64"/>
        </left>
      </border>
    </dxf>
    <dxf>
      <fill>
        <patternFill patternType="solid">
          <bgColor theme="0" tint="-0.249977111117893"/>
        </patternFill>
      </fill>
    </dxf>
    <dxf>
      <fill>
        <patternFill patternType="solid">
          <bgColor theme="0" tint="-0.249977111117893"/>
        </patternFill>
      </fill>
    </dxf>
    <dxf>
      <alignment wrapText="1"/>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rder>
    </dxf>
    <dxf>
      <alignment vertical="center"/>
    </dxf>
    <dxf>
      <alignment horizontal="center"/>
    </dxf>
    <dxf>
      <alignment wrapText="1"/>
    </dxf>
    <dxf>
      <alignment wrapText="1"/>
    </dxf>
    <dxf>
      <alignment vertical="center"/>
    </dxf>
    <dxf>
      <border>
        <left style="thin">
          <color indexed="64"/>
        </left>
      </border>
    </dxf>
    <dxf>
      <border>
        <left style="thin">
          <color indexed="64"/>
        </left>
      </border>
    </dxf>
    <dxf>
      <border>
        <left style="thin">
          <color indexed="64"/>
        </left>
      </border>
    </dxf>
    <dxf>
      <border>
        <left style="thin">
          <color indexed="64"/>
        </left>
      </border>
    </dxf>
    <dxf>
      <font>
        <color theme="0" tint="-0.249977111117893"/>
      </font>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ont>
        <color theme="0"/>
      </font>
    </dxf>
    <dxf>
      <font>
        <b/>
      </font>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alignment horizontal="center"/>
    </dxf>
    <dxf>
      <alignment vertical="cent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medium">
          <color rgb="FF000000"/>
        </left>
        <right style="medium">
          <color rgb="FF000000"/>
        </right>
        <top/>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right style="medium">
          <color rgb="FF000000"/>
        </right>
        <top style="medium">
          <color rgb="FF000000"/>
        </top>
        <bottom style="medium">
          <color rgb="FF000000"/>
        </bottom>
        <vertical/>
        <horizontal/>
      </border>
    </dxf>
    <dxf>
      <border outline="0">
        <left style="medium">
          <color rgb="FF000000"/>
        </left>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numFmt numFmtId="0" formatCode="General"/>
    </dxf>
    <dxf>
      <numFmt numFmtId="0" formatCode="General"/>
    </dxf>
    <dxf>
      <numFmt numFmtId="0" formatCode="General"/>
    </dxf>
    <dxf>
      <numFmt numFmtId="13" formatCode="0%"/>
    </dxf>
    <dxf>
      <font>
        <b val="0"/>
        <i val="0"/>
        <strike val="0"/>
        <condense val="0"/>
        <extend val="0"/>
        <outline val="0"/>
        <shadow val="0"/>
        <u val="none"/>
        <vertAlign val="baseline"/>
        <sz val="11"/>
        <color auto="1"/>
        <name val="Arial"/>
        <family val="2"/>
        <scheme val="none"/>
      </font>
      <fill>
        <patternFill patternType="solid">
          <fgColor indexed="64"/>
          <bgColor theme="5" tint="0.5999938962981048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fill>
        <patternFill patternType="solid">
          <fgColor indexed="64"/>
          <bgColor theme="5" tint="0.5999938962981048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fill>
        <patternFill patternType="solid">
          <fgColor indexed="64"/>
          <bgColor theme="5" tint="0.5999938962981048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fill>
        <patternFill patternType="solid">
          <fgColor indexed="64"/>
          <bgColor theme="5" tint="0.5999938962981048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rgb="FF000000"/>
        </left>
      </border>
    </dxf>
    <dxf>
      <numFmt numFmtId="0" formatCode="General"/>
    </dxf>
    <dxf>
      <numFmt numFmtId="0" formatCode="General"/>
    </dxf>
    <dxf>
      <numFmt numFmtId="0" formatCode="General"/>
    </dxf>
    <dxf>
      <numFmt numFmtId="13" formatCode="0%"/>
    </dxf>
    <dxf>
      <font>
        <b val="0"/>
        <i val="0"/>
        <strike val="0"/>
        <condense val="0"/>
        <extend val="0"/>
        <outline val="0"/>
        <shadow val="0"/>
        <u val="none"/>
        <vertAlign val="baseline"/>
        <sz val="11"/>
        <color auto="1"/>
        <name val="Arial"/>
        <family val="2"/>
        <scheme val="none"/>
      </font>
      <fill>
        <patternFill patternType="solid">
          <fgColor indexed="64"/>
          <bgColor theme="5" tint="0.5999938962981048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fill>
        <patternFill patternType="solid">
          <fgColor indexed="64"/>
          <bgColor theme="5" tint="0.5999938962981048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fill>
        <patternFill patternType="solid">
          <fgColor indexed="64"/>
          <bgColor theme="5" tint="0.5999938962981048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fill>
        <patternFill patternType="solid">
          <fgColor indexed="64"/>
          <bgColor theme="5" tint="0.5999938962981048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rgb="FF000000"/>
        </left>
      </border>
    </dxf>
    <dxf>
      <numFmt numFmtId="0" formatCode="Genera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border outline="0">
        <bottom style="medium">
          <color rgb="FF000000"/>
        </bottom>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right/>
        <top style="medium">
          <color rgb="FF000000"/>
        </top>
        <bottom style="medium">
          <color rgb="FF000000"/>
        </bottom>
        <vertical/>
        <horizontal/>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Yathiraj" refreshedDate="46077.955682060187" createdVersion="8" refreshedVersion="8" minRefreshableVersion="3" recordCount="18" xr:uid="{35FAB2E5-60BA-4FB4-8B24-458149DADF02}">
  <cacheSource type="worksheet">
    <worksheetSource name="Entity_Master"/>
  </cacheSource>
  <cacheFields count="9">
    <cacheField name="Entity_ID" numFmtId="0">
      <sharedItems/>
    </cacheField>
    <cacheField name="Legal_Entity_Name" numFmtId="0">
      <sharedItems/>
    </cacheField>
    <cacheField name="Asset_Class" numFmtId="0">
      <sharedItems count="8">
        <s v="Corp. Bond"/>
        <s v="Commercial Real Estate"/>
        <s v="Business Loan"/>
        <s v="Mortgages"/>
        <s v="Project Finance"/>
        <s v="Sovereign Debt"/>
        <s v="Sub-Sovereign Debt"/>
        <s v="Tax Equity"/>
      </sharedItems>
    </cacheField>
    <cacheField name="Sector" numFmtId="0">
      <sharedItems count="10">
        <s v="Power Generation"/>
        <s v="IT"/>
        <s v="Oil &amp; Gas"/>
        <s v="Agriculture"/>
        <s v="Real Estate"/>
        <s v="Healthcare"/>
        <s v="Renewables"/>
        <s v="Financials"/>
        <s v="Industrials"/>
        <s v="Sovereigns"/>
      </sharedItems>
    </cacheField>
    <cacheField name="Total_Committed ($B)" numFmtId="0">
      <sharedItems containsSemiMixedTypes="0" containsString="0" containsNumber="1" minValue="0.3" maxValue="300"/>
    </cacheField>
    <cacheField name="Outstanding ($B)" numFmtId="0">
      <sharedItems containsSemiMixedTypes="0" containsString="0" containsNumber="1" minValue="0.2" maxValue="300"/>
    </cacheField>
    <cacheField name="Financial_Status" numFmtId="0">
      <sharedItems/>
    </cacheField>
    <cacheField name="Utilization Rate" numFmtId="0" formula="'Outstanding ($B)' /'Total_Committed ($B)'" databaseField="0"/>
    <cacheField name="Product Utilization_Rate" numFmtId="0" formula="'Outstanding ($B)' /'Total_Committed ($B)'"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CB_DUK"/>
    <s v="Duke Energy"/>
    <x v="0"/>
    <x v="0"/>
    <n v="35"/>
    <n v="35"/>
    <s v="Active"/>
  </r>
  <r>
    <s v="CB_MSFT"/>
    <s v="Microsoft"/>
    <x v="0"/>
    <x v="1"/>
    <n v="50"/>
    <n v="50"/>
    <s v="Active"/>
  </r>
  <r>
    <s v="CB_TOT"/>
    <s v="TotalEnergies"/>
    <x v="0"/>
    <x v="2"/>
    <n v="10"/>
    <n v="10"/>
    <s v="Active"/>
  </r>
  <r>
    <s v="CB_TSN"/>
    <s v="Tyson Foods"/>
    <x v="0"/>
    <x v="3"/>
    <n v="20"/>
    <n v="20"/>
    <s v="Active"/>
  </r>
  <r>
    <s v="CRE_Spire"/>
    <s v="Spire"/>
    <x v="1"/>
    <x v="4"/>
    <n v="0.3"/>
    <n v="0.2"/>
    <s v="Active"/>
  </r>
  <r>
    <s v="Loan_ADANIPOWER"/>
    <s v="Adani Power"/>
    <x v="2"/>
    <x v="0"/>
    <n v="25"/>
    <n v="15"/>
    <s v="Active"/>
  </r>
  <r>
    <s v="Loan_APO"/>
    <s v="Apollo Hospitals"/>
    <x v="2"/>
    <x v="5"/>
    <n v="4.5"/>
    <n v="2.15"/>
    <s v="Active"/>
  </r>
  <r>
    <s v="Loan_CON"/>
    <s v="Continental Resources"/>
    <x v="2"/>
    <x v="2"/>
    <n v="10"/>
    <n v="7"/>
    <s v="Active"/>
  </r>
  <r>
    <s v="Loan_ECO"/>
    <s v="Eco-Startup Alpha"/>
    <x v="2"/>
    <x v="6"/>
    <n v="5"/>
    <n v="3"/>
    <s v="Active"/>
  </r>
  <r>
    <s v="Loan_FAM"/>
    <s v="Family Farm LLC"/>
    <x v="2"/>
    <x v="3"/>
    <n v="5"/>
    <n v="2"/>
    <s v="Active"/>
  </r>
  <r>
    <s v="Loan_HDB"/>
    <s v="HDFC Bank"/>
    <x v="2"/>
    <x v="7"/>
    <n v="35"/>
    <n v="25"/>
    <s v="Active"/>
  </r>
  <r>
    <s v="Loan_TAT"/>
    <s v="Tata Steel"/>
    <x v="2"/>
    <x v="8"/>
    <n v="20"/>
    <n v="15"/>
    <s v="Active"/>
  </r>
  <r>
    <s v="MOR_Local_Biz"/>
    <s v="Local Biz Plaza"/>
    <x v="3"/>
    <x v="4"/>
    <n v="0.75"/>
    <n v="0.35"/>
    <s v="Active"/>
  </r>
  <r>
    <s v="PF_NEX"/>
    <s v="NextEra Energy"/>
    <x v="4"/>
    <x v="6"/>
    <n v="30"/>
    <n v="25"/>
    <s v="Active"/>
  </r>
  <r>
    <s v="SD_DEU"/>
    <s v="Fed. Republic of Germany"/>
    <x v="5"/>
    <x v="9"/>
    <n v="300"/>
    <n v="300"/>
    <s v="Active"/>
  </r>
  <r>
    <s v="SSD_IND_MH_MUM"/>
    <s v="City of Mumbai"/>
    <x v="6"/>
    <x v="9"/>
    <n v="30"/>
    <n v="30"/>
    <s v="Active"/>
  </r>
  <r>
    <s v="SSD_USA_CA"/>
    <s v="State of California"/>
    <x v="6"/>
    <x v="9"/>
    <n v="70"/>
    <n v="70"/>
    <s v="Active"/>
  </r>
  <r>
    <s v="TE_REN"/>
    <s v="ReNew Power"/>
    <x v="7"/>
    <x v="6"/>
    <n v="10"/>
    <n v="7"/>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EFDEE4-E3C7-44BE-A8DB-DF7A19ED3699}" name="PivotTable3" cacheId="76"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Asset Class/Product">
  <location ref="B64:G73" firstHeaderRow="0" firstDataRow="1" firstDataCol="1"/>
  <pivotFields count="9">
    <pivotField showAll="0"/>
    <pivotField showAll="0"/>
    <pivotField axis="axisRow" showAll="0">
      <items count="9">
        <item x="2"/>
        <item x="1"/>
        <item x="0"/>
        <item x="3"/>
        <item x="4"/>
        <item x="5"/>
        <item x="7"/>
        <item x="6"/>
        <item t="default"/>
      </items>
    </pivotField>
    <pivotField showAll="0"/>
    <pivotField dataField="1" showAll="0"/>
    <pivotField dataField="1" showAll="0"/>
    <pivotField showAll="0"/>
    <pivotField dragToRow="0" dragToCol="0" dragToPage="0" showAll="0" defaultSubtotal="0"/>
    <pivotField dataField="1" dragToRow="0" dragToCol="0" dragToPage="0" showAll="0" defaultSubtotal="0"/>
  </pivotFields>
  <rowFields count="1">
    <field x="2"/>
  </rowFields>
  <rowItems count="9">
    <i>
      <x/>
    </i>
    <i>
      <x v="1"/>
    </i>
    <i>
      <x v="2"/>
    </i>
    <i>
      <x v="3"/>
    </i>
    <i>
      <x v="4"/>
    </i>
    <i>
      <x v="5"/>
    </i>
    <i>
      <x v="6"/>
    </i>
    <i>
      <x v="7"/>
    </i>
    <i t="grand">
      <x/>
    </i>
  </rowItems>
  <colFields count="1">
    <field x="-2"/>
  </colFields>
  <colItems count="5">
    <i>
      <x/>
    </i>
    <i i="1">
      <x v="1"/>
    </i>
    <i i="2">
      <x v="2"/>
    </i>
    <i i="3">
      <x v="3"/>
    </i>
    <i i="4">
      <x v="4"/>
    </i>
  </colItems>
  <dataFields count="5">
    <dataField name="Total Commitments ($B)" fld="4" baseField="2" baseItem="0"/>
    <dataField name="Funded Exposure ($B)" fld="5" baseField="2" baseItem="0"/>
    <dataField name="% of Total Commitments" fld="4" showDataAs="percentOfTotal" baseField="0" baseItem="0" numFmtId="10"/>
    <dataField name="% of Funded Exposure" fld="5" showDataAs="percentOfTotal" baseField="0" baseItem="0" numFmtId="10"/>
    <dataField name="Product Utilization Rate" fld="8" baseField="2" baseItem="0" numFmtId="9"/>
  </dataFields>
  <formats count="22">
    <format dxfId="86">
      <pivotArea dataOnly="0" outline="0" fieldPosition="0">
        <references count="1">
          <reference field="4294967294" count="1">
            <x v="3"/>
          </reference>
        </references>
      </pivotArea>
    </format>
    <format dxfId="87">
      <pivotArea outline="0" collapsedLevelsAreSubtotals="1" fieldPosition="0">
        <references count="1">
          <reference field="4294967294" count="1" selected="0">
            <x v="3"/>
          </reference>
        </references>
      </pivotArea>
    </format>
    <format dxfId="88">
      <pivotArea dataOnly="0" labelOnly="1" outline="0" fieldPosition="0">
        <references count="1">
          <reference field="4294967294" count="1">
            <x v="3"/>
          </reference>
        </references>
      </pivotArea>
    </format>
    <format dxfId="89">
      <pivotArea outline="0" collapsedLevelsAreSubtotals="1" fieldPosition="0"/>
    </format>
    <format dxfId="90">
      <pivotArea outline="0" collapsedLevelsAreSubtotals="1" fieldPosition="0"/>
    </format>
    <format dxfId="91">
      <pivotArea field="2" type="button" dataOnly="0" labelOnly="1" outline="0" axis="axisRow" fieldPosition="0"/>
    </format>
    <format dxfId="92">
      <pivotArea dataOnly="0" labelOnly="1" outline="0" fieldPosition="0">
        <references count="1">
          <reference field="4294967294" count="2">
            <x v="1"/>
            <x v="3"/>
          </reference>
        </references>
      </pivotArea>
    </format>
    <format dxfId="93">
      <pivotArea dataOnly="0" labelOnly="1" fieldPosition="0">
        <references count="1">
          <reference field="2" count="0"/>
        </references>
      </pivotArea>
    </format>
    <format dxfId="94">
      <pivotArea dataOnly="0" labelOnly="1" grandRow="1" outline="0" fieldPosition="0"/>
    </format>
    <format dxfId="85">
      <pivotArea field="2" type="button" dataOnly="0" labelOnly="1" outline="0" axis="axisRow" fieldPosition="0"/>
    </format>
    <format dxfId="84">
      <pivotArea dataOnly="0" labelOnly="1" outline="0" fieldPosition="0">
        <references count="1">
          <reference field="4294967294" count="4">
            <x v="0"/>
            <x v="1"/>
            <x v="2"/>
            <x v="3"/>
          </reference>
        </references>
      </pivotArea>
    </format>
    <format dxfId="83">
      <pivotArea outline="0" fieldPosition="0">
        <references count="1">
          <reference field="4294967294" count="1">
            <x v="2"/>
          </reference>
        </references>
      </pivotArea>
    </format>
    <format dxfId="75">
      <pivotArea field="2" type="button" dataOnly="0" labelOnly="1" outline="0" axis="axisRow" fieldPosition="0"/>
    </format>
    <format dxfId="74">
      <pivotArea dataOnly="0" labelOnly="1" outline="0" fieldPosition="0">
        <references count="1">
          <reference field="4294967294" count="4">
            <x v="0"/>
            <x v="1"/>
            <x v="2"/>
            <x v="3"/>
          </reference>
        </references>
      </pivotArea>
    </format>
    <format dxfId="73">
      <pivotArea outline="0" collapsedLevelsAreSubtotals="1" fieldPosition="0">
        <references count="1">
          <reference field="4294967294" count="1" selected="0">
            <x v="4"/>
          </reference>
        </references>
      </pivotArea>
    </format>
    <format dxfId="72">
      <pivotArea dataOnly="0" labelOnly="1" outline="0" fieldPosition="0">
        <references count="1">
          <reference field="4294967294" count="1">
            <x v="4"/>
          </reference>
        </references>
      </pivotArea>
    </format>
    <format dxfId="71">
      <pivotArea collapsedLevelsAreSubtotals="1" fieldPosition="0">
        <references count="2">
          <reference field="4294967294" count="1" selected="0">
            <x v="4"/>
          </reference>
          <reference field="2" count="0"/>
        </references>
      </pivotArea>
    </format>
    <format dxfId="69">
      <pivotArea collapsedLevelsAreSubtotals="1" fieldPosition="0">
        <references count="2">
          <reference field="4294967294" count="1" selected="0">
            <x v="4"/>
          </reference>
          <reference field="2" count="0"/>
        </references>
      </pivotArea>
    </format>
    <format dxfId="68">
      <pivotArea dataOnly="0" labelOnly="1" outline="0" fieldPosition="0">
        <references count="1">
          <reference field="4294967294" count="5">
            <x v="0"/>
            <x v="1"/>
            <x v="2"/>
            <x v="3"/>
            <x v="4"/>
          </reference>
        </references>
      </pivotArea>
    </format>
    <format dxfId="67">
      <pivotArea collapsedLevelsAreSubtotals="1" fieldPosition="0">
        <references count="2">
          <reference field="4294967294" count="1" selected="0">
            <x v="2"/>
          </reference>
          <reference field="2" count="0"/>
        </references>
      </pivotArea>
    </format>
    <format dxfId="66">
      <pivotArea field="2" grandRow="1" outline="0" collapsedLevelsAreSubtotals="1" axis="axisRow" fieldPosition="0">
        <references count="1">
          <reference field="4294967294" count="1" selected="0">
            <x v="2"/>
          </reference>
        </references>
      </pivotArea>
    </format>
    <format dxfId="65">
      <pivotArea dataOnly="0" outline="0" fieldPosition="0">
        <references count="1">
          <reference field="4294967294" count="1">
            <x v="2"/>
          </reference>
        </references>
      </pivotArea>
    </format>
  </formats>
  <conditionalFormats count="2">
    <conditionalFormat priority="2">
      <pivotAreas count="1">
        <pivotArea type="data" collapsedLevelsAreSubtotals="1" fieldPosition="0">
          <references count="2">
            <reference field="4294967294" count="1" selected="0">
              <x v="4"/>
            </reference>
            <reference field="2" count="7">
              <x v="0"/>
              <x v="1"/>
              <x v="2"/>
              <x v="3"/>
              <x v="4"/>
              <x v="5"/>
              <x v="6"/>
            </reference>
          </references>
        </pivotArea>
      </pivotAreas>
    </conditionalFormat>
    <conditionalFormat priority="1">
      <pivotAreas count="1">
        <pivotArea type="data" collapsedLevelsAreSubtotals="1" fieldPosition="0">
          <references count="2">
            <reference field="4294967294" count="1" selected="0">
              <x v="4"/>
            </reference>
            <reference field="2" count="1">
              <x v="7"/>
            </reference>
          </references>
        </pivotArea>
      </pivotAreas>
    </conditionalFormat>
  </conditional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226416-4BE2-4486-80CC-5CA22FEAE0A7}" name="PivotTable2" cacheId="7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7:G58" firstHeaderRow="0" firstDataRow="1" firstDataCol="1"/>
  <pivotFields count="9">
    <pivotField showAll="0"/>
    <pivotField showAll="0"/>
    <pivotField showAll="0"/>
    <pivotField axis="axisRow" showAll="0">
      <items count="11">
        <item x="3"/>
        <item x="7"/>
        <item x="5"/>
        <item x="8"/>
        <item x="1"/>
        <item x="2"/>
        <item x="0"/>
        <item x="4"/>
        <item x="6"/>
        <item x="9"/>
        <item t="default"/>
      </items>
    </pivotField>
    <pivotField dataField="1" showAll="0"/>
    <pivotField dataField="1" showAll="0"/>
    <pivotField showAll="0"/>
    <pivotField dataField="1" dragToRow="0" dragToCol="0" dragToPage="0" showAll="0" defaultSubtotal="0"/>
    <pivotField dragToRow="0" dragToCol="0" dragToPage="0" showAll="0" defaultSubtotal="0"/>
  </pivotFields>
  <rowFields count="1">
    <field x="3"/>
  </rowFields>
  <rowItems count="11">
    <i>
      <x/>
    </i>
    <i>
      <x v="1"/>
    </i>
    <i>
      <x v="2"/>
    </i>
    <i>
      <x v="3"/>
    </i>
    <i>
      <x v="4"/>
    </i>
    <i>
      <x v="5"/>
    </i>
    <i>
      <x v="6"/>
    </i>
    <i>
      <x v="7"/>
    </i>
    <i>
      <x v="8"/>
    </i>
    <i>
      <x v="9"/>
    </i>
    <i t="grand">
      <x/>
    </i>
  </rowItems>
  <colFields count="1">
    <field x="-2"/>
  </colFields>
  <colItems count="5">
    <i>
      <x/>
    </i>
    <i i="1">
      <x v="1"/>
    </i>
    <i i="2">
      <x v="2"/>
    </i>
    <i i="3">
      <x v="3"/>
    </i>
    <i i="4">
      <x v="4"/>
    </i>
  </colItems>
  <dataFields count="5">
    <dataField name="Total Committments ($B)" fld="4" baseField="3" baseItem="0"/>
    <dataField name="Funded Exposure ($B)" fld="5" baseField="3" baseItem="0"/>
    <dataField name="% of Total Committed" fld="4" showDataAs="percentOfTotal" baseField="0" baseItem="0" numFmtId="10"/>
    <dataField name="% of Funded Exposure " fld="5" showDataAs="percentOfTotal" baseField="0" baseItem="0" numFmtId="10"/>
    <dataField name="Sector Utilization Rate" fld="7" baseField="3" baseItem="0" numFmtId="9"/>
  </dataFields>
  <formats count="25">
    <format dxfId="100">
      <pivotArea type="all" dataOnly="0" outline="0" fieldPosition="0"/>
    </format>
    <format dxfId="101">
      <pivotArea outline="0" collapsedLevelsAreSubtotals="1" fieldPosition="0"/>
    </format>
    <format dxfId="102">
      <pivotArea field="3" type="button" dataOnly="0" labelOnly="1" outline="0" axis="axisRow" fieldPosition="0"/>
    </format>
    <format dxfId="103">
      <pivotArea dataOnly="0" labelOnly="1" fieldPosition="0">
        <references count="1">
          <reference field="3" count="0"/>
        </references>
      </pivotArea>
    </format>
    <format dxfId="104">
      <pivotArea dataOnly="0" labelOnly="1" grandRow="1" outline="0" fieldPosition="0"/>
    </format>
    <format dxfId="105">
      <pivotArea dataOnly="0" labelOnly="1" outline="0" fieldPosition="0">
        <references count="1">
          <reference field="4294967294" count="3">
            <x v="0"/>
            <x v="1"/>
            <x v="3"/>
          </reference>
        </references>
      </pivotArea>
    </format>
    <format dxfId="106">
      <pivotArea dataOnly="0" outline="0" fieldPosition="0">
        <references count="1">
          <reference field="4294967294" count="1">
            <x v="3"/>
          </reference>
        </references>
      </pivotArea>
    </format>
    <format dxfId="107">
      <pivotArea outline="0" collapsedLevelsAreSubtotals="1" fieldPosition="0"/>
    </format>
    <format dxfId="108">
      <pivotArea outline="0" collapsedLevelsAreSubtotals="1" fieldPosition="0"/>
    </format>
    <format dxfId="109">
      <pivotArea field="3" type="button" dataOnly="0" labelOnly="1" outline="0" axis="axisRow" fieldPosition="0"/>
    </format>
    <format dxfId="110">
      <pivotArea dataOnly="0" labelOnly="1" outline="0" fieldPosition="0">
        <references count="1">
          <reference field="4294967294" count="3">
            <x v="0"/>
            <x v="1"/>
            <x v="3"/>
          </reference>
        </references>
      </pivotArea>
    </format>
    <format dxfId="111">
      <pivotArea dataOnly="0" labelOnly="1" outline="0" fieldPosition="0">
        <references count="1">
          <reference field="4294967294" count="3">
            <x v="0"/>
            <x v="1"/>
            <x v="3"/>
          </reference>
        </references>
      </pivotArea>
    </format>
    <format dxfId="99">
      <pivotArea outline="0" fieldPosition="0">
        <references count="1">
          <reference field="4294967294" count="1">
            <x v="2"/>
          </reference>
        </references>
      </pivotArea>
    </format>
    <format dxfId="98">
      <pivotArea dataOnly="0" labelOnly="1" outline="0" fieldPosition="0">
        <references count="1">
          <reference field="4294967294" count="1">
            <x v="2"/>
          </reference>
        </references>
      </pivotArea>
    </format>
    <format dxfId="97">
      <pivotArea field="3" type="button" dataOnly="0" labelOnly="1" outline="0" axis="axisRow" fieldPosition="0"/>
    </format>
    <format dxfId="96">
      <pivotArea dataOnly="0" labelOnly="1" outline="0" fieldPosition="0">
        <references count="1">
          <reference field="4294967294" count="4">
            <x v="0"/>
            <x v="1"/>
            <x v="2"/>
            <x v="3"/>
          </reference>
        </references>
      </pivotArea>
    </format>
    <format dxfId="95">
      <pivotArea dataOnly="0" outline="0" fieldPosition="0">
        <references count="1">
          <reference field="4294967294" count="1">
            <x v="2"/>
          </reference>
        </references>
      </pivotArea>
    </format>
    <format dxfId="82">
      <pivotArea outline="0" collapsedLevelsAreSubtotals="1" fieldPosition="0">
        <references count="1">
          <reference field="4294967294" count="1" selected="0">
            <x v="4"/>
          </reference>
        </references>
      </pivotArea>
    </format>
    <format dxfId="81">
      <pivotArea dataOnly="0" labelOnly="1" outline="0" fieldPosition="0">
        <references count="1">
          <reference field="4294967294" count="1">
            <x v="4"/>
          </reference>
        </references>
      </pivotArea>
    </format>
    <format dxfId="80">
      <pivotArea outline="0" collapsedLevelsAreSubtotals="1" fieldPosition="0">
        <references count="1">
          <reference field="4294967294" count="1" selected="0">
            <x v="4"/>
          </reference>
        </references>
      </pivotArea>
    </format>
    <format dxfId="79">
      <pivotArea dataOnly="0" labelOnly="1" outline="0" fieldPosition="0">
        <references count="1">
          <reference field="4294967294" count="1">
            <x v="4"/>
          </reference>
        </references>
      </pivotArea>
    </format>
    <format dxfId="78">
      <pivotArea outline="0" collapsedLevelsAreSubtotals="1" fieldPosition="0">
        <references count="1">
          <reference field="4294967294" count="1" selected="0">
            <x v="3"/>
          </reference>
        </references>
      </pivotArea>
    </format>
    <format dxfId="77">
      <pivotArea field="3" type="button" dataOnly="0" labelOnly="1" outline="0" axis="axisRow" fieldPosition="0"/>
    </format>
    <format dxfId="76">
      <pivotArea dataOnly="0" labelOnly="1" outline="0" fieldPosition="0">
        <references count="1">
          <reference field="4294967294" count="5">
            <x v="0"/>
            <x v="1"/>
            <x v="2"/>
            <x v="3"/>
            <x v="4"/>
          </reference>
        </references>
      </pivotArea>
    </format>
    <format dxfId="70">
      <pivotArea dataOnly="0" labelOnly="1" outline="0" fieldPosition="0">
        <references count="1">
          <reference field="4294967294" count="1">
            <x v="4"/>
          </reference>
        </references>
      </pivotArea>
    </format>
  </formats>
  <conditionalFormats count="2">
    <conditionalFormat priority="5">
      <pivotAreas count="1">
        <pivotArea type="data" collapsedLevelsAreSubtotals="1" fieldPosition="0">
          <references count="2">
            <reference field="4294967294" count="1" selected="0">
              <x v="4"/>
            </reference>
            <reference field="3" count="10">
              <x v="0"/>
              <x v="1"/>
              <x v="2"/>
              <x v="3"/>
              <x v="4"/>
              <x v="5"/>
              <x v="6"/>
              <x v="7"/>
              <x v="8"/>
              <x v="9"/>
            </reference>
          </references>
        </pivotArea>
      </pivotAreas>
    </conditionalFormat>
    <conditionalFormat priority="3">
      <pivotAreas count="1">
        <pivotArea type="data" collapsedLevelsAreSubtotals="1" fieldPosition="0">
          <references count="2">
            <reference field="4294967294" count="1" selected="0">
              <x v="4"/>
            </reference>
            <reference field="3" count="10">
              <x v="0"/>
              <x v="1"/>
              <x v="2"/>
              <x v="3"/>
              <x v="4"/>
              <x v="5"/>
              <x v="6"/>
              <x v="7"/>
              <x v="8"/>
              <x v="9"/>
            </reference>
          </references>
        </pivotArea>
      </pivotAreas>
    </conditionalFormat>
  </conditional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98CFD1-B018-4B22-97CD-9B2456DF9886}" name="PivotTable1" cacheId="76"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ectors" colHeaderCaption="Asset Classes">
  <location ref="B30:K42" firstHeaderRow="1" firstDataRow="2" firstDataCol="1"/>
  <pivotFields count="9">
    <pivotField showAll="0"/>
    <pivotField showAll="0"/>
    <pivotField axis="axisCol" showAll="0">
      <items count="9">
        <item x="2"/>
        <item x="1"/>
        <item x="0"/>
        <item x="3"/>
        <item x="4"/>
        <item x="5"/>
        <item x="7"/>
        <item x="6"/>
        <item t="default"/>
      </items>
    </pivotField>
    <pivotField axis="axisRow" showAll="0">
      <items count="11">
        <item x="3"/>
        <item x="7"/>
        <item x="5"/>
        <item x="8"/>
        <item x="1"/>
        <item x="2"/>
        <item x="0"/>
        <item x="4"/>
        <item x="6"/>
        <item x="9"/>
        <item t="default"/>
      </items>
    </pivotField>
    <pivotField dataField="1" showAll="0"/>
    <pivotField showAll="0"/>
    <pivotField showAll="0"/>
    <pivotField dragToRow="0" dragToCol="0" dragToPage="0" showAll="0" defaultSubtotal="0"/>
    <pivotField dragToRow="0" dragToCol="0" dragToPage="0" showAll="0" defaultSubtotal="0"/>
  </pivotFields>
  <rowFields count="1">
    <field x="3"/>
  </rowFields>
  <rowItems count="11">
    <i>
      <x/>
    </i>
    <i>
      <x v="1"/>
    </i>
    <i>
      <x v="2"/>
    </i>
    <i>
      <x v="3"/>
    </i>
    <i>
      <x v="4"/>
    </i>
    <i>
      <x v="5"/>
    </i>
    <i>
      <x v="6"/>
    </i>
    <i>
      <x v="7"/>
    </i>
    <i>
      <x v="8"/>
    </i>
    <i>
      <x v="9"/>
    </i>
    <i t="grand">
      <x/>
    </i>
  </rowItems>
  <colFields count="1">
    <field x="2"/>
  </colFields>
  <colItems count="9">
    <i>
      <x/>
    </i>
    <i>
      <x v="1"/>
    </i>
    <i>
      <x v="2"/>
    </i>
    <i>
      <x v="3"/>
    </i>
    <i>
      <x v="4"/>
    </i>
    <i>
      <x v="5"/>
    </i>
    <i>
      <x v="6"/>
    </i>
    <i>
      <x v="7"/>
    </i>
    <i t="grand">
      <x/>
    </i>
  </colItems>
  <dataFields count="1">
    <dataField name="Sum of Total_Committed ($B)" fld="4" baseField="0" baseItem="0"/>
  </dataFields>
  <formats count="21">
    <format dxfId="124">
      <pivotArea grandCol="1" outline="0" collapsedLevelsAreSubtotals="1" fieldPosition="0"/>
    </format>
    <format dxfId="125">
      <pivotArea grandCol="1" outline="0" collapsedLevelsAreSubtotals="1" fieldPosition="0"/>
    </format>
    <format dxfId="126">
      <pivotArea type="topRight" dataOnly="0" labelOnly="1" outline="0" offset="G1" fieldPosition="0"/>
    </format>
    <format dxfId="127">
      <pivotArea dataOnly="0" labelOnly="1" grandCol="1" outline="0" fieldPosition="0"/>
    </format>
    <format dxfId="128">
      <pivotArea grandCol="1" outline="0" collapsedLevelsAreSubtotals="1" fieldPosition="0"/>
    </format>
    <format dxfId="129">
      <pivotArea type="topRight" dataOnly="0" labelOnly="1" outline="0" offset="G1" fieldPosition="0"/>
    </format>
    <format dxfId="130">
      <pivotArea dataOnly="0" labelOnly="1" grandCol="1" outline="0" fieldPosition="0"/>
    </format>
    <format dxfId="131">
      <pivotArea outline="0" collapsedLevelsAreSubtotals="1" fieldPosition="0"/>
    </format>
    <format dxfId="132">
      <pivotArea outline="0" collapsedLevelsAreSubtotals="1" fieldPosition="0"/>
    </format>
    <format dxfId="123">
      <pivotArea type="origin" dataOnly="0" labelOnly="1" outline="0" fieldPosition="0"/>
    </format>
    <format dxfId="122">
      <pivotArea type="origin" dataOnly="0" labelOnly="1" outline="0" fieldPosition="0"/>
    </format>
    <format dxfId="121">
      <pivotArea field="2" type="button" dataOnly="0" labelOnly="1" outline="0" axis="axisCol" fieldPosition="0"/>
    </format>
    <format dxfId="120">
      <pivotArea type="topRight" dataOnly="0" labelOnly="1" outline="0" fieldPosition="0"/>
    </format>
    <format dxfId="119">
      <pivotArea field="3" type="button" dataOnly="0" labelOnly="1" outline="0" axis="axisRow" fieldPosition="0"/>
    </format>
    <format dxfId="118">
      <pivotArea dataOnly="0" labelOnly="1" fieldPosition="0">
        <references count="1">
          <reference field="2" count="0"/>
        </references>
      </pivotArea>
    </format>
    <format dxfId="117">
      <pivotArea dataOnly="0" labelOnly="1" grandCol="1" outline="0" fieldPosition="0"/>
    </format>
    <format dxfId="116">
      <pivotArea type="origin" dataOnly="0" labelOnly="1" outline="0" fieldPosition="0"/>
    </format>
    <format dxfId="115">
      <pivotArea type="origin" dataOnly="0" labelOnly="1" outline="0" fieldPosition="0"/>
    </format>
    <format dxfId="114">
      <pivotArea field="3" type="button" dataOnly="0" labelOnly="1" outline="0" axis="axisRow" fieldPosition="0"/>
    </format>
    <format dxfId="113">
      <pivotArea dataOnly="0" labelOnly="1" fieldPosition="0">
        <references count="1">
          <reference field="3" count="0"/>
        </references>
      </pivotArea>
    </format>
    <format dxfId="112">
      <pivotArea dataOnly="0" labelOnly="1" grandRow="1" outline="0" fieldPosition="0"/>
    </format>
  </formats>
  <pivotTableStyleInfo name="PivotStyleLight8"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B5FD83-F03E-4C64-8A5E-4541E6938CC8}" name="Table13" displayName="Table13" ref="N31:R40" totalsRowShown="0" headerRowDxfId="60">
  <autoFilter ref="N31:R40" xr:uid="{7DB5FD83-F03E-4C64-8A5E-4541E6938CC8}"/>
  <tableColumns count="5">
    <tableColumn id="1" xr3:uid="{B2DFB0C5-82DE-4335-8EC5-0BC5E29A924A}" name="Asset Classes/Products"/>
    <tableColumn id="2" xr3:uid="{842141AA-4563-47CA-829F-DB359AC19AE9}" name="Total Commitment Footprint MT CO2e" dataDxfId="64" dataCellStyle="Comma"/>
    <tableColumn id="3" xr3:uid="{C888C04F-24E3-44CC-9506-961DB08F53BD}" name="Funded Footprint MT CO2e" dataDxfId="63" dataCellStyle="Comma"/>
    <tableColumn id="4" xr3:uid="{2FAEB93A-4C84-4D11-A341-CE5B24951474}" name="Carbon Overhang" dataDxfId="62">
      <calculatedColumnFormula>O32-P32</calculatedColumnFormula>
    </tableColumn>
    <tableColumn id="5" xr3:uid="{667B020D-7501-4872-A68A-EB5E98C40B7C}" name="Emission Risk Delta" dataDxfId="61" dataCellStyle="Percent">
      <calculatedColumnFormula>IFERROR(Q32/P32, 0)</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5F7F556-AFD0-47D4-8E14-B0F840E28FC4}" name="Table1315" displayName="Table1315" ref="N47:R58" totalsRowShown="0" headerRowDxfId="59">
  <autoFilter ref="N47:R58" xr:uid="{85F7F556-AFD0-47D4-8E14-B0F840E28FC4}"/>
  <tableColumns count="5">
    <tableColumn id="1" xr3:uid="{A324D063-5703-422D-9D25-FEF3F00AD73B}" name="Sector">
      <calculatedColumnFormula>B48</calculatedColumnFormula>
    </tableColumn>
    <tableColumn id="2" xr3:uid="{87853C41-A3B9-4583-891F-1D34829F34A2}" name="Total Commitment Footprint MT CO2e" dataDxfId="58" dataCellStyle="Comma"/>
    <tableColumn id="3" xr3:uid="{2AB3DBFE-0CE7-4457-9237-07264A1F35D5}" name="Funded Footprint MT CO2e" dataDxfId="57" dataCellStyle="Comma"/>
    <tableColumn id="4" xr3:uid="{BE4AC319-4A9B-4A74-B357-06FCB74F39AC}" name="Carbon Overhang" dataDxfId="56">
      <calculatedColumnFormula>O48-P48</calculatedColumnFormula>
    </tableColumn>
    <tableColumn id="5" xr3:uid="{660D9443-D78B-473C-89D3-85FA406AAC9B}" name="Emission Risk Delta" dataDxfId="55" dataCellStyle="Percent">
      <calculatedColumnFormula>IFERROR(Q48/P48, 0)</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C8BCFED-FD51-43D0-AA9A-561FB1C313A7}" name="Table15" displayName="Table15" ref="N64:O75" totalsRowShown="0" headerRowDxfId="54">
  <autoFilter ref="N64:O75" xr:uid="{2C8BCFED-FD51-43D0-AA9A-561FB1C313A7}"/>
  <tableColumns count="2">
    <tableColumn id="1" xr3:uid="{31215C79-8DCC-418A-80F5-4C169B6136CD}" name="Sectors"/>
    <tableColumn id="2" xr3:uid="{30A323A7-FFA2-45D1-AB73-B3716C7A2A89}" name="Avg. Data Quality Scor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4D24D66-EB00-4CB0-94CC-7231C82D1341}" name="Table16" displayName="Table16" ref="N81:T92" totalsRowShown="0" headerRowDxfId="49">
  <autoFilter ref="N81:T92" xr:uid="{34D24D66-EB00-4CB0-94CC-7231C82D1341}"/>
  <tableColumns count="7">
    <tableColumn id="1" xr3:uid="{C863C6EE-DF7D-49E7-92C8-FB9A293A5830}" name="Sector"/>
    <tableColumn id="2" xr3:uid="{70200605-8FAF-4941-8959-02D97C00AA97}" name="Total Committments ($B)"/>
    <tableColumn id="3" xr3:uid="{EA533260-0AB6-40B6-B5C6-2A9801F70F57}" name="Funded Exposure ($B)"/>
    <tableColumn id="4" xr3:uid="{52F0A0E1-C788-4008-922E-9E8C5DE6FBBE}" name="Portfolio Weighting" dataDxfId="53" dataCellStyle="Percent"/>
    <tableColumn id="5" xr3:uid="{71DD6A6C-D30C-45D9-955D-0007AC2018BB}" name="Funded Footprint (MT CO2e)" dataDxfId="52"/>
    <tableColumn id="6" xr3:uid="{BDE38AC9-3C88-48D4-810E-9CBD8E74E48F}" name="Funded Emission Intensity (MT CO2e/$1M)" dataDxfId="51"/>
    <tableColumn id="7" xr3:uid="{4EA99AC0-CE38-4B68-9D93-21F6DD113B79}" name="WACI (MT CO2e/$1M)" dataDxfId="50" dataCellStyle="Percent"/>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D55B0-B2CB-4F2D-85DD-83670C920C6F}" name="Asset_Class" displayName="Asset_Class" ref="A3:B11" totalsRowShown="0" headerRowDxfId="48" dataDxfId="181" headerRowBorderDxfId="184" tableBorderDxfId="185" totalsRowBorderDxfId="183">
  <autoFilter ref="A3:B11" xr:uid="{350D55B0-B2CB-4F2D-85DD-83670C920C6F}"/>
  <tableColumns count="2">
    <tableColumn id="1" xr3:uid="{5A90A48B-1ABB-45D7-98D1-8C8E6E7149CD}" name="Asset_Class" dataDxfId="182"/>
    <tableColumn id="2" xr3:uid="{51439BA7-CDBA-40F0-B833-AE7A35992252}" name="Entity ID" dataDxfId="180"/>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B8A09E-1646-4649-B7B6-16F97018AFA1}" name="Status" displayName="Status" ref="A15:A17" totalsRowShown="0" headerRowDxfId="47">
  <autoFilter ref="A15:A17" xr:uid="{F3B8A09E-1646-4649-B7B6-16F97018AFA1}"/>
  <tableColumns count="1">
    <tableColumn id="1" xr3:uid="{39919588-ED0A-40D9-88E9-FAF8DE15444B}" name="Financial_Status"/>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7AD072-7734-469B-98FB-8E675EAA1F5C}" name="Sectors" displayName="Sectors" ref="A22:A32" totalsRowShown="0" headerRowDxfId="46" dataDxfId="177" tableBorderDxfId="179">
  <autoFilter ref="A22:A32" xr:uid="{CA7AD072-7734-469B-98FB-8E675EAA1F5C}"/>
  <sortState xmlns:xlrd2="http://schemas.microsoft.com/office/spreadsheetml/2017/richdata2" ref="A23:A32">
    <sortCondition ref="A22:A32"/>
  </sortState>
  <tableColumns count="1">
    <tableColumn id="1" xr3:uid="{9500E6D1-A0A4-489B-A713-E01AC49BC8FB}" name="Sectors" dataDxfId="178"/>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3BA2CD3-99FE-4B69-994B-88B7E676CBE4}" name="Denominator_Type" displayName="Denominator_Type" ref="A36:A41" totalsRowShown="0" headerRowDxfId="45" dataDxfId="140" tableBorderDxfId="142">
  <autoFilter ref="A36:A41" xr:uid="{B3BA2CD3-99FE-4B69-994B-88B7E676CBE4}"/>
  <tableColumns count="1">
    <tableColumn id="1" xr3:uid="{1738A421-6776-4518-B598-FBC78886CF1D}" name="Denominator_Type" dataDxfId="141"/>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BA7050-2BCC-4135-874B-FF50F8421672}" name="Entity_Master" displayName="Entity_Master" ref="A3:G21" totalsRowShown="0" headerRowDxfId="33" dataDxfId="44" headerRowBorderDxfId="42" tableBorderDxfId="43" totalsRowBorderDxfId="41">
  <autoFilter ref="A3:G21" xr:uid="{9FBA7050-2BCC-4135-874B-FF50F8421672}"/>
  <sortState xmlns:xlrd2="http://schemas.microsoft.com/office/spreadsheetml/2017/richdata2" ref="A4:G21">
    <sortCondition ref="A3:A21"/>
  </sortState>
  <tableColumns count="7">
    <tableColumn id="2" xr3:uid="{7C1FB51B-523D-4C37-BE23-54304C898969}" name="Entity_ID" dataDxfId="40"/>
    <tableColumn id="3" xr3:uid="{1D95E1BB-B538-4D42-9C58-88052709EC33}" name="Legal_Entity_Name" dataDxfId="39"/>
    <tableColumn id="4" xr3:uid="{B4CACCEA-ABB9-46A4-8F51-4481DF8B58A7}" name="Asset_Class" dataDxfId="38"/>
    <tableColumn id="5" xr3:uid="{D6B655F2-E48D-46B6-A4AA-D2F85BD3AE27}" name="Sector" dataDxfId="37"/>
    <tableColumn id="6" xr3:uid="{4C8D185C-DC8B-44D0-BBF8-398A0472F5A2}" name="Total_Committed ($B)" dataDxfId="36"/>
    <tableColumn id="7" xr3:uid="{11D81E9B-9E39-47F5-82ED-111F9FB9F767}" name="Outstanding ($B)" dataDxfId="35"/>
    <tableColumn id="8" xr3:uid="{ECD1D334-2917-47CC-B0EC-5A5B5FB9F19B}" name="Financial_Status" dataDxfId="34"/>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1CAEB5-9F29-4F17-ABC6-72F51FE61F6A}" name="Table5" displayName="Table5" ref="A3:L22" totalsRowCount="1" headerRowDxfId="32" dataDxfId="26" totalsRowDxfId="9" headerRowBorderDxfId="175" tableBorderDxfId="176" totalsRowBorderDxfId="174">
  <autoFilter ref="A3:L21" xr:uid="{1F1CAEB5-9F29-4F17-ABC6-72F51FE61F6A}"/>
  <sortState xmlns:xlrd2="http://schemas.microsoft.com/office/spreadsheetml/2017/richdata2" ref="A4:L21">
    <sortCondition descending="1" ref="A3:A21"/>
  </sortState>
  <tableColumns count="12">
    <tableColumn id="1" xr3:uid="{7916A88A-D582-41CC-9528-376D326D9CB1}" name="Entity_ID" totalsRowLabel="Total" dataDxfId="31" totalsRowDxfId="21"/>
    <tableColumn id="2" xr3:uid="{69F5457A-08D6-4CB6-83AC-7AB73681FF62}" name="Legal_Entity_Name" dataDxfId="30" totalsRowDxfId="20"/>
    <tableColumn id="7" xr3:uid="{6D8FB037-96CB-4422-8010-B19799B32FD3}" name="Asset_Class" dataDxfId="29" totalsRowDxfId="19"/>
    <tableColumn id="8" xr3:uid="{C3765B9D-3676-44BF-B9D2-4A36CAD2E3F0}" name="Sector" dataDxfId="28" totalsRowDxfId="18"/>
    <tableColumn id="3" xr3:uid="{2AF42939-B0AD-4175-B5D8-6681A0A1AA24}" name="Denominator_Type" dataDxfId="25" totalsRowDxfId="17"/>
    <tableColumn id="4" xr3:uid="{A5910C31-6CC8-4B03-85DB-EC762C312FBA}" name="Entity_Denominator_Value ($B)" totalsRowFunction="custom" dataDxfId="24" totalsRowDxfId="16">
      <totalsRowFormula>SUM(Table5[Entity_Denominator_Value ($B)])</totalsRowFormula>
    </tableColumn>
    <tableColumn id="10" xr3:uid="{70EF5C62-CD4D-49A7-A166-F8812FE96DFE}" name="Denominator Data Source" dataDxfId="23" totalsRowDxfId="15"/>
    <tableColumn id="5" xr3:uid="{F48FF718-3935-4AA6-9FA5-5606D35786C7}" name="Entity_GHG_Emissions (tCO2e)" totalsRowFunction="custom" dataDxfId="22" totalsRowDxfId="14" dataCellStyle="Comma" totalsRowCellStyle="Comma">
      <totalsRowFormula>SUM(Table5[Entity_GHG_Emissions (tCO2e)])</totalsRowFormula>
    </tableColumn>
    <tableColumn id="9" xr3:uid="{41DB2699-488E-46BF-9862-ECD470AC5608}" name="GHG Emissions Data Source" dataDxfId="8" totalsRowDxfId="13"/>
    <tableColumn id="11" xr3:uid="{3718D919-11BB-4A18-8817-951E46E8EDC3}" name="Data Quality Rank" totalsRowFunction="average" dataDxfId="6" totalsRowDxfId="12"/>
    <tableColumn id="12" xr3:uid="{2F90E710-DCAD-4630-AB85-BF21B57DC2C1}" name="Data Quality Description" dataDxfId="7" totalsRowDxfId="11"/>
    <tableColumn id="6" xr3:uid="{DDAE8D86-8798-42E2-8ADB-A5E3C18093B3}" name="Notes" dataDxfId="27" totalsRowDxfId="10"/>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197FCE7-311B-45DF-B529-5C4B0C74348E}" name="Funded_Emissions" displayName="Funded_Emissions" ref="A4:L23" totalsRowShown="0" headerRowDxfId="3" tableBorderDxfId="160">
  <autoFilter ref="A4:L23" xr:uid="{D197FCE7-311B-45DF-B529-5C4B0C74348E}"/>
  <tableColumns count="12">
    <tableColumn id="1" xr3:uid="{32A14424-6904-445D-8BBB-B02CD5E33922}" name="Entity_ID" dataDxfId="159"/>
    <tableColumn id="2" xr3:uid="{3368FD8C-5DD4-4677-8372-B8E4F8CAD06A}" name="Legal_Entity_Name" dataDxfId="158"/>
    <tableColumn id="3" xr3:uid="{C37E2AFD-92CA-4149-8D30-10E5B63C8D33}" name="Asset_Class" dataDxfId="157"/>
    <tableColumn id="4" xr3:uid="{6B67A585-4760-4CDD-8878-F8A56BF8E4D9}" name="Sector" dataDxfId="156"/>
    <tableColumn id="5" xr3:uid="{CA620F7E-D068-475D-AD20-0D29547CAD9E}" name="Ref_Outstanding ($B)"/>
    <tableColumn id="6" xr3:uid="{C2507F8F-0699-4F78-B967-8162541E567F}" name="Ref_Denominator ($B)"/>
    <tableColumn id="7" xr3:uid="{7AD23FD7-699C-4637-A2E5-3BD20F2802FB}" name="Attribute_Factor (%)" dataDxfId="155"/>
    <tableColumn id="8" xr3:uid="{09133541-170D-4B22-B821-CA9B41D5952D}" name="GHG Emissions (MT CO2e)" dataCellStyle="Comma"/>
    <tableColumn id="9" xr3:uid="{43B3959A-BCBA-4341-9D82-7F0C7E4B3C6F}" name="Attributed_Emissions (MT CO2e)" dataCellStyle="Comma"/>
    <tableColumn id="10" xr3:uid="{D2CD9157-81EC-4508-AE1C-A3046154A4F3}" name="Check_Unit_Alert" dataDxfId="153">
      <calculatedColumnFormula>IF(Funded_Emissions[[#This Row],[Attribute_Factor (%)]]&lt; 0.0001,"Check Units!","$ Units OK")</calculatedColumnFormula>
    </tableColumn>
    <tableColumn id="11" xr3:uid="{C782912D-EBE9-4E81-B0C1-AD69C6B66834}" name="Check_Entity_Match" dataDxfId="154">
      <calculatedColumnFormula>IF(AND(Funded_Emissions[[#This Row],[Entity_ID]]=_xlfn.XLOOKUP(Funded_Emissions[[#This Row],[Entity_ID]],Entity_Master[Entity_ID],Entity_Master[Entity_ID]), Funded_Emissions[[#This Row],[Entity_ID]]=_xlfn.XLOOKUP(Funded_Emissions[[#This Row],[Entity_ID]],Table5[Entity_ID],Table5[Entity_ID])),"✅ Match","❌ ID MISMATCH")</calculatedColumnFormula>
    </tableColumn>
    <tableColumn id="12" xr3:uid="{DE481CC2-DCFB-4002-B9EF-CF70B7027C87}" name="Check_Attribute_Factor" dataDxfId="152">
      <calculatedColumnFormula>IF(Funded_Emissions[[#This Row],[Attribute_Factor (%)]] &gt; 1, "Check Denominator", "✅ OK")</calculatedColumnFormula>
    </tableColumn>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2FBB561-20DC-4A1A-A160-0BAEACEEAB94}" name="Committed_Emissions" displayName="Committed_Emissions" ref="A30:L49" totalsRowShown="0" headerRowDxfId="2" tableBorderDxfId="151">
  <autoFilter ref="A30:L49" xr:uid="{02FBB561-20DC-4A1A-A160-0BAEACEEAB94}"/>
  <tableColumns count="12">
    <tableColumn id="1" xr3:uid="{9EE4D02E-0AF2-4308-99B5-A33FB7EC8C68}" name="Entity_ID" dataDxfId="150"/>
    <tableColumn id="2" xr3:uid="{6D3CF6E2-31A1-4DB2-8E6B-8F05851E68D0}" name="Legal_Entity_Name" dataDxfId="149"/>
    <tableColumn id="3" xr3:uid="{82910559-E2FF-4388-B170-CC97364CFE4A}" name="Asset_Class" dataDxfId="148"/>
    <tableColumn id="4" xr3:uid="{798610FD-8A57-4819-933B-D00B419B0C7F}" name="Sector" dataDxfId="147"/>
    <tableColumn id="5" xr3:uid="{CCDF7D2E-BFA7-4D75-B764-7BE7485D5C1A}" name="Ref_Total_Committed ($B)"/>
    <tableColumn id="6" xr3:uid="{EBDA3252-003F-4A5B-B63F-866EA69714E8}" name="Ref_Denominator ($B)"/>
    <tableColumn id="7" xr3:uid="{80E0ED57-E0AC-4B25-8AA9-E85DE084A8AB}" name="Attribute_Factor (%)" dataDxfId="146"/>
    <tableColumn id="8" xr3:uid="{5600DB86-58EE-48D7-8A79-C1DA38B022D1}" name="GHG Emissions (MT CO2e)" dataCellStyle="Comma"/>
    <tableColumn id="9" xr3:uid="{9D58D64E-A24A-40F2-A564-A03F20E66052}" name="Attributed_Emissions (MT CO2e)" dataCellStyle="Comma"/>
    <tableColumn id="10" xr3:uid="{6BCB9A32-53F9-41C2-BA04-84323382B420}" name="Check_Unit_Alert" dataDxfId="145">
      <calculatedColumnFormula>IF(Committed_Emissions[[#This Row],[Attribute_Factor (%)]]&lt; 0.0001,"Check Units!","$ Units OK")</calculatedColumnFormula>
    </tableColumn>
    <tableColumn id="11" xr3:uid="{F7A0AF60-FDA0-48F8-8BE2-90716796FE17}" name="Check_Entity_Match" dataDxfId="144">
      <calculatedColumnFormula>IF(AND(Committed_Emissions[[#This Row],[Entity_ID]]=_xlfn.XLOOKUP(Committed_Emissions[[#This Row],[Entity_ID]],Entity_Master[Entity_ID],Entity_Master[Entity_ID]), Committed_Emissions[[#This Row],[Entity_ID]]=_xlfn.XLOOKUP(Committed_Emissions[[#This Row],[Entity_ID]],Table5[Entity_ID],Table5[Entity_ID])),"✅ Match","❌ ID MISMATCH")</calculatedColumnFormula>
    </tableColumn>
    <tableColumn id="12" xr3:uid="{A895F585-7EC2-4E49-BF52-29AA43592DB8}" name="Check_Attribute_Factor" dataDxfId="143">
      <calculatedColumnFormula>IF(Committed_Emissions[[#This Row],[Attribute_Factor (%)]] &gt; 1, "Check Denominator", "✅ OK")</calculatedColumnFormula>
    </tableColumn>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16AF54-93E6-4A83-80F7-EA87192A8C92}" name="Table6" displayName="Table6" ref="A3:J6" totalsRowShown="0" headerRowDxfId="5" headerRowBorderDxfId="172" tableBorderDxfId="173" totalsRowBorderDxfId="171">
  <autoFilter ref="A3:J6" xr:uid="{3D16AF54-93E6-4A83-80F7-EA87192A8C92}"/>
  <tableColumns count="10">
    <tableColumn id="1" xr3:uid="{1D3FA7C3-8F7F-4FB3-9D91-5C1D12B1BDEE}" name="Entity_ID (CFI_Ticker)" dataDxfId="170"/>
    <tableColumn id="2" xr3:uid="{6868AFF0-66B7-49E8-BC0C-6F874B66E1F8}" name="Legal_Entity_Name" dataDxfId="169"/>
    <tableColumn id="3" xr3:uid="{083AAADD-F787-4846-A826-B849EA136F40}" name="Asset_Class" dataDxfId="168"/>
    <tableColumn id="4" xr3:uid="{90AAC5DC-53C0-4B9F-BE76-0A7A15D08336}" name="Sector" dataDxfId="167"/>
    <tableColumn id="5" xr3:uid="{B3EC3E3D-A3C1-4601-A548-4876B5AAA4E6}" name="Revenue $B" dataDxfId="163">
      <calculatedColumnFormula>757901844.9/1000000000</calculatedColumnFormula>
    </tableColumn>
    <tableColumn id="6" xr3:uid="{9C2B8154-CB39-41B7-882A-ED5392D620AE}" name="EEIO Factor" dataDxfId="166"/>
    <tableColumn id="7" xr3:uid="{97BE1B8E-98FD-4FA6-BC65-F8EBDA19F460}" name="EEIO Category" dataDxfId="165"/>
    <tableColumn id="8" xr3:uid="{7737D8DE-FCCD-4FDE-A6D9-2D8721598BFE}" name="Calculated Emissions tCO2e/USD" dataDxfId="162">
      <calculatedColumnFormula>Table6[[#This Row],[Revenue $B]]*Table6[[#This Row],[EEIO Factor]]*1000000000/1000</calculatedColumnFormula>
    </tableColumn>
    <tableColumn id="9" xr3:uid="{C7023C75-904A-4A43-B84F-5F780C47B3F2}" name="Source" dataDxfId="164"/>
    <tableColumn id="10" xr3:uid="{0FD7F7ED-EA5D-4A1D-B1EC-8DF943FA09FA}" name="Check for Intensity factor" dataDxfId="161">
      <calculatedColumnFormula>IF(Table6[[#This Row],[EEIO Factor]] &gt; 1.5, "High Intensity: Verify Units", "Normal Range")</calculatedColumnFormula>
    </tableColumn>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7AE096E-769A-4CA0-98D1-6D15C038DD48}" name="Table7" displayName="Table7" ref="A12:J17" totalsRowShown="0" headerRowDxfId="4" tableBorderDxfId="139">
  <autoFilter ref="A12:J17" xr:uid="{B7AE096E-769A-4CA0-98D1-6D15C038DD48}"/>
  <tableColumns count="10">
    <tableColumn id="1" xr3:uid="{E7D81493-CCA8-4998-AECE-565D9CDF2DA7}" name="Entity_ID (CFI_Ticker)" dataDxfId="138"/>
    <tableColumn id="2" xr3:uid="{37408E83-0772-400D-B312-512C53A15892}" name="Legal_Entity_Name" dataDxfId="137"/>
    <tableColumn id="3" xr3:uid="{6DA14FD6-0571-45DF-AE6B-EC0FCB73C5FA}" name="Asset_Class" dataDxfId="136"/>
    <tableColumn id="4" xr3:uid="{D1020393-4020-4FCA-B145-B410DCD9DABA}" name="Sector" dataDxfId="135"/>
    <tableColumn id="5" xr3:uid="{13ACC746-DBED-4268-8032-78EA1490B454}" name="Product Type" dataDxfId="134"/>
    <tableColumn id="6" xr3:uid="{9923FFEE-EA5F-483C-8797-14F2796A4332}" name="Product Type Revenue (USD)"/>
    <tableColumn id="7" xr3:uid="{B6F4C7B6-5504-4B9E-A0C1-E4CB3346F939}" name="Emission Factors"/>
    <tableColumn id="8" xr3:uid="{418FCB46-141F-4411-B482-A507E4C9641D}" name="Unit" dataDxfId="133"/>
    <tableColumn id="9" xr3:uid="{14497C75-44FA-4AA6-8854-D1E9AB4378D5}" name="Emissions"/>
    <tableColumn id="10" xr3:uid="{2EE4BC6D-A013-4BA7-8E80-F176FBB416FC}" name="Sourc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32E79A0-DBD2-44B6-A90F-B42F1C59B8B5}">
  <we:reference id="wa200009404" version="1.0.0.5" store="en-US" storeType="OMEX"/>
  <we:alternateReferences>
    <we:reference id="WA200009404" version="1.0.0.5" store=""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pivotTable" Target="../pivotTables/pivotTable3.xml"/><Relationship Id="rId7" Type="http://schemas.openxmlformats.org/officeDocument/2006/relationships/table" Target="../tables/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_rels/sheet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hyperlink" Target="https://finance.yahoo.com/quote/MSFT/key-statistics/" TargetMode="External"/><Relationship Id="rId2" Type="http://schemas.openxmlformats.org/officeDocument/2006/relationships/hyperlink" Target="https://www.imf.org/external/datamapper/PPPGDP@WEO/DEU?zoom=DEU&amp;highlight=DEU" TargetMode="External"/><Relationship Id="rId1" Type="http://schemas.openxmlformats.org/officeDocument/2006/relationships/hyperlink" Target="https://apps.bea.gov/itable/?ReqID=99&amp;step=1" TargetMode="External"/><Relationship Id="rId6" Type="http://schemas.openxmlformats.org/officeDocument/2006/relationships/table" Target="../tables/table10.xml"/><Relationship Id="rId5" Type="http://schemas.openxmlformats.org/officeDocument/2006/relationships/printerSettings" Target="../printerSettings/printerSettings3.bin"/><Relationship Id="rId4" Type="http://schemas.openxmlformats.org/officeDocument/2006/relationships/hyperlink" Target="http://edgar.secdatabase.com/792/119312526064403/filing-main.htm"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27FE4-06AF-4B82-A655-11BD083EA184}">
  <dimension ref="A1:AC65"/>
  <sheetViews>
    <sheetView showGridLines="0" tabSelected="1" topLeftCell="A13" workbookViewId="0">
      <selection activeCell="O32" sqref="O32"/>
    </sheetView>
  </sheetViews>
  <sheetFormatPr defaultRowHeight="15" x14ac:dyDescent="0.25"/>
  <cols>
    <col min="2" max="2" width="26.85546875" bestFit="1" customWidth="1"/>
    <col min="3" max="3" width="29.7109375" bestFit="1" customWidth="1"/>
    <col min="4" max="4" width="51.5703125" bestFit="1" customWidth="1"/>
    <col min="18" max="19" width="33.85546875" customWidth="1"/>
    <col min="20" max="20" width="45.42578125" customWidth="1"/>
  </cols>
  <sheetData>
    <row r="1" spans="1:29" x14ac:dyDescent="0.25">
      <c r="A1" s="187"/>
      <c r="B1" s="187"/>
      <c r="C1" s="187"/>
      <c r="D1" s="187"/>
      <c r="E1" s="187"/>
      <c r="F1" s="187"/>
      <c r="G1" s="187"/>
      <c r="H1" s="187"/>
      <c r="I1" s="187"/>
      <c r="J1" s="187"/>
      <c r="K1" s="187"/>
      <c r="L1" s="187"/>
      <c r="M1" s="187"/>
      <c r="N1" s="187"/>
      <c r="O1" s="187"/>
      <c r="P1" s="187"/>
      <c r="Q1" s="187"/>
      <c r="R1" s="187"/>
      <c r="S1" s="187"/>
      <c r="T1" s="187"/>
      <c r="U1" s="187"/>
      <c r="V1" s="187"/>
      <c r="W1" s="187"/>
      <c r="X1" s="187"/>
      <c r="Y1" s="187"/>
      <c r="Z1" s="187"/>
      <c r="AA1" s="187"/>
      <c r="AB1" s="187"/>
      <c r="AC1" s="187"/>
    </row>
    <row r="2" spans="1:29" x14ac:dyDescent="0.25">
      <c r="A2" s="191"/>
      <c r="B2" s="187"/>
      <c r="C2" s="187"/>
      <c r="D2" s="187"/>
      <c r="E2" s="187"/>
      <c r="F2" s="187"/>
      <c r="G2" s="187"/>
      <c r="H2" s="187"/>
      <c r="I2" s="187"/>
      <c r="J2" s="187"/>
      <c r="K2" s="187"/>
      <c r="L2" s="187"/>
      <c r="M2" s="187"/>
      <c r="N2" s="187"/>
      <c r="O2" s="187"/>
      <c r="P2" s="187"/>
      <c r="Q2" s="187"/>
      <c r="R2" s="187"/>
      <c r="S2" s="187"/>
      <c r="T2" s="187"/>
      <c r="U2" s="187"/>
      <c r="V2" s="187"/>
      <c r="W2" s="187"/>
      <c r="X2" s="187"/>
      <c r="Y2" s="187"/>
      <c r="Z2" s="187"/>
      <c r="AA2" s="187"/>
      <c r="AB2" s="187"/>
      <c r="AC2" s="187"/>
    </row>
    <row r="3" spans="1:29" x14ac:dyDescent="0.25">
      <c r="A3" s="187"/>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7"/>
    </row>
    <row r="4" spans="1:29" ht="26.25" x14ac:dyDescent="0.4">
      <c r="A4" s="187"/>
      <c r="B4" s="188" t="s">
        <v>256</v>
      </c>
      <c r="C4" s="187"/>
      <c r="D4" s="187"/>
      <c r="E4" s="187"/>
      <c r="F4" s="187"/>
      <c r="G4" s="187"/>
      <c r="H4" s="187"/>
      <c r="I4" s="187"/>
      <c r="J4" s="187"/>
      <c r="K4" s="187"/>
      <c r="L4" s="187"/>
      <c r="M4" s="187"/>
      <c r="N4" s="187"/>
      <c r="O4" s="187"/>
      <c r="P4" s="187"/>
      <c r="Q4" s="187"/>
      <c r="R4" s="187"/>
      <c r="S4" s="187"/>
      <c r="T4" s="187"/>
      <c r="U4" s="187"/>
      <c r="V4" s="187"/>
      <c r="W4" s="187"/>
      <c r="X4" s="187"/>
      <c r="Y4" s="187"/>
      <c r="Z4" s="187"/>
      <c r="AA4" s="187"/>
      <c r="AB4" s="187"/>
      <c r="AC4" s="187"/>
    </row>
    <row r="5" spans="1:29" x14ac:dyDescent="0.25">
      <c r="A5" s="187"/>
      <c r="B5" s="190" t="s">
        <v>258</v>
      </c>
      <c r="C5" s="187"/>
      <c r="D5" s="187"/>
      <c r="E5" s="187"/>
      <c r="F5" s="187"/>
      <c r="G5" s="187"/>
      <c r="H5" s="187"/>
      <c r="I5" s="187"/>
      <c r="J5" s="187"/>
      <c r="K5" s="187"/>
      <c r="L5" s="187"/>
      <c r="M5" s="187"/>
      <c r="N5" s="187"/>
      <c r="O5" s="187"/>
      <c r="P5" s="187"/>
      <c r="Q5" s="187"/>
      <c r="R5" s="187"/>
      <c r="S5" s="187"/>
      <c r="T5" s="187"/>
      <c r="U5" s="187"/>
      <c r="V5" s="187"/>
      <c r="W5" s="187"/>
      <c r="X5" s="187"/>
      <c r="Y5" s="187"/>
      <c r="Z5" s="187"/>
      <c r="AA5" s="187"/>
      <c r="AB5" s="187"/>
      <c r="AC5" s="187"/>
    </row>
    <row r="6" spans="1:29" x14ac:dyDescent="0.25">
      <c r="A6" s="187"/>
      <c r="B6" s="187"/>
      <c r="C6" s="187"/>
      <c r="D6" s="187"/>
      <c r="E6" s="187"/>
      <c r="F6" s="187"/>
      <c r="G6" s="187"/>
      <c r="H6" s="187"/>
      <c r="I6" s="187"/>
      <c r="J6" s="187"/>
      <c r="K6" s="187"/>
      <c r="L6" s="187"/>
      <c r="M6" s="187"/>
      <c r="N6" s="187"/>
      <c r="O6" s="187"/>
      <c r="P6" s="187"/>
      <c r="Q6" s="187"/>
      <c r="R6" s="187"/>
      <c r="S6" s="187"/>
      <c r="T6" s="187"/>
      <c r="U6" s="187"/>
      <c r="V6" s="187"/>
      <c r="W6" s="187"/>
      <c r="X6" s="187"/>
      <c r="Y6" s="187"/>
      <c r="Z6" s="187"/>
      <c r="AA6" s="187"/>
      <c r="AB6" s="187"/>
      <c r="AC6" s="187"/>
    </row>
    <row r="7" spans="1:29" x14ac:dyDescent="0.25">
      <c r="A7" s="187"/>
      <c r="B7" s="187"/>
      <c r="C7" s="187"/>
      <c r="D7" s="187"/>
      <c r="E7" s="187"/>
      <c r="F7" s="187"/>
      <c r="G7" s="187"/>
      <c r="H7" s="187"/>
      <c r="I7" s="187"/>
      <c r="J7" s="187"/>
      <c r="K7" s="187"/>
      <c r="L7" s="187"/>
      <c r="M7" s="187"/>
      <c r="N7" s="187"/>
      <c r="O7" s="187"/>
      <c r="P7" s="187"/>
      <c r="Q7" s="187"/>
      <c r="R7" s="187"/>
      <c r="S7" s="187"/>
      <c r="T7" s="187"/>
      <c r="U7" s="187"/>
      <c r="V7" s="187"/>
      <c r="W7" s="187"/>
      <c r="X7" s="187"/>
      <c r="Y7" s="187"/>
      <c r="Z7" s="187"/>
      <c r="AA7" s="187"/>
      <c r="AB7" s="187"/>
      <c r="AC7" s="187"/>
    </row>
    <row r="8" spans="1:29" x14ac:dyDescent="0.25">
      <c r="A8" s="187"/>
      <c r="B8" s="187"/>
      <c r="C8" s="187"/>
      <c r="D8" s="189" t="s">
        <v>255</v>
      </c>
      <c r="E8" s="189" t="s">
        <v>257</v>
      </c>
      <c r="F8" s="187"/>
      <c r="G8" s="187"/>
      <c r="H8" s="187"/>
      <c r="I8" s="187"/>
      <c r="J8" s="187"/>
      <c r="K8" s="187"/>
      <c r="L8" s="187"/>
      <c r="M8" s="187"/>
      <c r="N8" s="187"/>
      <c r="O8" s="187"/>
      <c r="P8" s="187"/>
      <c r="Q8" s="187"/>
      <c r="R8" s="187"/>
      <c r="S8" s="187"/>
      <c r="T8" s="187"/>
      <c r="U8" s="187"/>
      <c r="V8" s="187"/>
      <c r="W8" s="187"/>
      <c r="X8" s="187"/>
      <c r="Y8" s="187"/>
      <c r="Z8" s="187"/>
      <c r="AA8" s="187"/>
      <c r="AB8" s="187"/>
      <c r="AC8" s="187"/>
    </row>
    <row r="10" spans="1:29" ht="15.75" thickBot="1" x14ac:dyDescent="0.3">
      <c r="B10" t="s">
        <v>240</v>
      </c>
    </row>
    <row r="11" spans="1:29" ht="18.75" thickBot="1" x14ac:dyDescent="0.3">
      <c r="B11" s="184" t="s">
        <v>241</v>
      </c>
      <c r="R11" s="1" t="s">
        <v>173</v>
      </c>
      <c r="S11" s="1" t="s">
        <v>174</v>
      </c>
      <c r="T11" s="1" t="s">
        <v>175</v>
      </c>
    </row>
    <row r="12" spans="1:29" ht="30" thickBot="1" x14ac:dyDescent="0.3">
      <c r="B12" t="s">
        <v>242</v>
      </c>
      <c r="R12" s="1" t="s">
        <v>176</v>
      </c>
      <c r="S12" s="2" t="s">
        <v>243</v>
      </c>
      <c r="T12" s="1" t="s">
        <v>244</v>
      </c>
    </row>
    <row r="13" spans="1:29" ht="29.25" thickBot="1" x14ac:dyDescent="0.3">
      <c r="B13" s="184" t="s">
        <v>259</v>
      </c>
      <c r="R13" s="1" t="s">
        <v>245</v>
      </c>
      <c r="S13" s="2" t="s">
        <v>177</v>
      </c>
      <c r="T13" s="2" t="s">
        <v>246</v>
      </c>
    </row>
    <row r="14" spans="1:29" ht="30" thickBot="1" x14ac:dyDescent="0.3">
      <c r="B14" s="186" t="s">
        <v>260</v>
      </c>
      <c r="R14" s="1" t="s">
        <v>178</v>
      </c>
      <c r="S14" s="2" t="s">
        <v>179</v>
      </c>
      <c r="T14" s="1" t="s">
        <v>247</v>
      </c>
    </row>
    <row r="15" spans="1:29" ht="29.25" thickBot="1" x14ac:dyDescent="0.3">
      <c r="B15" s="186" t="s">
        <v>261</v>
      </c>
      <c r="R15" s="1" t="s">
        <v>180</v>
      </c>
      <c r="S15" s="2" t="s">
        <v>181</v>
      </c>
      <c r="T15" s="2" t="s">
        <v>248</v>
      </c>
    </row>
    <row r="16" spans="1:29" ht="29.25" thickBot="1" x14ac:dyDescent="0.3">
      <c r="R16" s="1" t="s">
        <v>182</v>
      </c>
      <c r="S16" s="2" t="s">
        <v>183</v>
      </c>
      <c r="T16" s="2" t="s">
        <v>249</v>
      </c>
    </row>
    <row r="17" spans="2:20" ht="30" thickBot="1" x14ac:dyDescent="0.3">
      <c r="B17" s="184" t="s">
        <v>262</v>
      </c>
      <c r="R17" s="1" t="s">
        <v>184</v>
      </c>
      <c r="S17" s="2" t="s">
        <v>185</v>
      </c>
      <c r="T17" s="1" t="s">
        <v>250</v>
      </c>
    </row>
    <row r="18" spans="2:20" ht="29.25" thickBot="1" x14ac:dyDescent="0.3">
      <c r="B18" s="186" t="s">
        <v>263</v>
      </c>
      <c r="R18" s="1" t="s">
        <v>186</v>
      </c>
      <c r="S18" s="2" t="s">
        <v>187</v>
      </c>
      <c r="T18" s="2" t="s">
        <v>251</v>
      </c>
    </row>
    <row r="19" spans="2:20" ht="29.25" thickBot="1" x14ac:dyDescent="0.3">
      <c r="B19" s="186" t="s">
        <v>264</v>
      </c>
      <c r="R19" s="1" t="s">
        <v>252</v>
      </c>
      <c r="S19" s="2" t="s">
        <v>253</v>
      </c>
      <c r="T19" s="2" t="s">
        <v>254</v>
      </c>
    </row>
    <row r="20" spans="2:20" x14ac:dyDescent="0.25">
      <c r="B20" s="185"/>
    </row>
    <row r="21" spans="2:20" x14ac:dyDescent="0.25">
      <c r="B21" s="186" t="s">
        <v>265</v>
      </c>
    </row>
    <row r="24" spans="2:20" ht="18" x14ac:dyDescent="0.25">
      <c r="B24" s="184" t="s">
        <v>266</v>
      </c>
    </row>
    <row r="25" spans="2:20" x14ac:dyDescent="0.25">
      <c r="B25" s="185"/>
    </row>
    <row r="26" spans="2:20" x14ac:dyDescent="0.25">
      <c r="B26" s="186" t="s">
        <v>267</v>
      </c>
    </row>
    <row r="27" spans="2:20" x14ac:dyDescent="0.25">
      <c r="B27" s="185"/>
    </row>
    <row r="28" spans="2:20" x14ac:dyDescent="0.25">
      <c r="B28" s="186" t="s">
        <v>268</v>
      </c>
    </row>
    <row r="31" spans="2:20" ht="18" x14ac:dyDescent="0.25">
      <c r="B31" s="184" t="s">
        <v>269</v>
      </c>
    </row>
    <row r="32" spans="2:20" x14ac:dyDescent="0.25">
      <c r="B32" s="185"/>
    </row>
    <row r="33" spans="2:2" x14ac:dyDescent="0.25">
      <c r="B33" s="186" t="s">
        <v>270</v>
      </c>
    </row>
    <row r="34" spans="2:2" x14ac:dyDescent="0.25">
      <c r="B34" s="185"/>
    </row>
    <row r="35" spans="2:2" x14ac:dyDescent="0.25">
      <c r="B35" s="186" t="s">
        <v>271</v>
      </c>
    </row>
    <row r="36" spans="2:2" x14ac:dyDescent="0.25">
      <c r="B36" s="185"/>
    </row>
    <row r="37" spans="2:2" x14ac:dyDescent="0.25">
      <c r="B37" s="186" t="s">
        <v>272</v>
      </c>
    </row>
    <row r="40" spans="2:2" ht="18" x14ac:dyDescent="0.25">
      <c r="B40" s="184" t="s">
        <v>273</v>
      </c>
    </row>
    <row r="41" spans="2:2" x14ac:dyDescent="0.25">
      <c r="B41" s="185"/>
    </row>
    <row r="42" spans="2:2" x14ac:dyDescent="0.25">
      <c r="B42" s="186" t="s">
        <v>274</v>
      </c>
    </row>
    <row r="43" spans="2:2" x14ac:dyDescent="0.25">
      <c r="B43" s="185"/>
    </row>
    <row r="44" spans="2:2" x14ac:dyDescent="0.25">
      <c r="B44" s="186" t="s">
        <v>275</v>
      </c>
    </row>
    <row r="47" spans="2:2" ht="18" x14ac:dyDescent="0.25">
      <c r="B47" s="184" t="s">
        <v>276</v>
      </c>
    </row>
    <row r="48" spans="2:2" x14ac:dyDescent="0.25">
      <c r="B48" s="185"/>
    </row>
    <row r="49" spans="2:2" x14ac:dyDescent="0.25">
      <c r="B49" s="186" t="s">
        <v>277</v>
      </c>
    </row>
    <row r="50" spans="2:2" x14ac:dyDescent="0.25">
      <c r="B50" s="185"/>
    </row>
    <row r="51" spans="2:2" x14ac:dyDescent="0.25">
      <c r="B51" s="186" t="s">
        <v>278</v>
      </c>
    </row>
    <row r="52" spans="2:2" x14ac:dyDescent="0.25">
      <c r="B52" s="185"/>
    </row>
    <row r="53" spans="2:2" x14ac:dyDescent="0.25">
      <c r="B53" s="186" t="s">
        <v>284</v>
      </c>
    </row>
    <row r="57" spans="2:2" ht="18" x14ac:dyDescent="0.25">
      <c r="B57" s="184" t="s">
        <v>279</v>
      </c>
    </row>
    <row r="58" spans="2:2" x14ac:dyDescent="0.25">
      <c r="B58" s="185"/>
    </row>
    <row r="59" spans="2:2" x14ac:dyDescent="0.25">
      <c r="B59" s="186" t="s">
        <v>280</v>
      </c>
    </row>
    <row r="60" spans="2:2" x14ac:dyDescent="0.25">
      <c r="B60" s="185"/>
    </row>
    <row r="61" spans="2:2" x14ac:dyDescent="0.25">
      <c r="B61" s="186" t="s">
        <v>281</v>
      </c>
    </row>
    <row r="62" spans="2:2" x14ac:dyDescent="0.25">
      <c r="B62" s="185"/>
    </row>
    <row r="63" spans="2:2" x14ac:dyDescent="0.25">
      <c r="B63" s="186" t="s">
        <v>282</v>
      </c>
    </row>
    <row r="64" spans="2:2" x14ac:dyDescent="0.25">
      <c r="B64" s="185"/>
    </row>
    <row r="65" spans="2:2" x14ac:dyDescent="0.25">
      <c r="B65" s="186" t="s">
        <v>283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174B-D0E3-4A99-997D-888D1B1F26AF}">
  <dimension ref="A1:Z92"/>
  <sheetViews>
    <sheetView showGridLines="0" topLeftCell="A7" zoomScale="90" zoomScaleNormal="90" workbookViewId="0">
      <selection activeCell="B16" sqref="B16:K17"/>
    </sheetView>
  </sheetViews>
  <sheetFormatPr defaultColWidth="15.7109375" defaultRowHeight="20.100000000000001" customHeight="1" x14ac:dyDescent="0.25"/>
  <cols>
    <col min="15" max="19" width="15.7109375" customWidth="1"/>
  </cols>
  <sheetData>
    <row r="1" spans="1:26" ht="20.100000000000001" customHeight="1" x14ac:dyDescent="0.25">
      <c r="A1" s="35"/>
      <c r="B1" s="52" t="s">
        <v>188</v>
      </c>
      <c r="C1" s="52"/>
      <c r="D1" s="52"/>
      <c r="E1" s="52"/>
      <c r="F1" s="52"/>
      <c r="G1" s="52"/>
      <c r="H1" s="52"/>
      <c r="I1" s="52"/>
      <c r="J1" s="52"/>
      <c r="K1" s="52"/>
      <c r="L1" s="52"/>
      <c r="M1" s="52"/>
      <c r="N1" s="52"/>
      <c r="O1" s="52"/>
      <c r="P1" s="52"/>
      <c r="Q1" s="52"/>
      <c r="R1" s="52"/>
      <c r="S1" s="52"/>
      <c r="T1" s="35"/>
      <c r="U1" s="35"/>
      <c r="V1" s="35"/>
      <c r="W1" s="35"/>
      <c r="X1" s="35"/>
      <c r="Y1" s="35"/>
      <c r="Z1" s="35"/>
    </row>
    <row r="2" spans="1:26" ht="20.100000000000001" customHeight="1" x14ac:dyDescent="0.25">
      <c r="A2" s="35"/>
      <c r="B2" s="52"/>
      <c r="C2" s="52"/>
      <c r="D2" s="52"/>
      <c r="E2" s="52"/>
      <c r="F2" s="52"/>
      <c r="G2" s="52"/>
      <c r="H2" s="52"/>
      <c r="I2" s="52"/>
      <c r="J2" s="52"/>
      <c r="K2" s="52"/>
      <c r="L2" s="52"/>
      <c r="M2" s="52"/>
      <c r="N2" s="52"/>
      <c r="O2" s="52"/>
      <c r="P2" s="52"/>
      <c r="Q2" s="52"/>
      <c r="R2" s="52"/>
      <c r="S2" s="52"/>
      <c r="T2" s="35"/>
      <c r="U2" s="35"/>
      <c r="V2" s="35"/>
      <c r="W2" s="35"/>
      <c r="X2" s="35"/>
      <c r="Y2" s="35"/>
      <c r="Z2" s="35"/>
    </row>
    <row r="3" spans="1:26" ht="20.100000000000001" customHeight="1" x14ac:dyDescent="0.25">
      <c r="A3" s="35"/>
      <c r="B3" s="54" t="s">
        <v>190</v>
      </c>
      <c r="C3" s="54"/>
      <c r="D3" s="54"/>
      <c r="E3" s="54"/>
      <c r="F3" s="54"/>
      <c r="G3" s="54"/>
      <c r="H3" s="54"/>
      <c r="I3" s="54"/>
      <c r="J3" s="54"/>
      <c r="K3" s="54"/>
      <c r="L3" s="54"/>
      <c r="M3" s="54"/>
      <c r="N3" s="54"/>
      <c r="O3" s="54"/>
      <c r="P3" s="54"/>
      <c r="Q3" s="54"/>
      <c r="R3" s="54"/>
      <c r="S3" s="54"/>
      <c r="T3" s="35"/>
      <c r="U3" s="35"/>
      <c r="V3" s="35"/>
      <c r="W3" s="35"/>
      <c r="X3" s="35"/>
      <c r="Y3" s="35"/>
      <c r="Z3" s="35"/>
    </row>
    <row r="4" spans="1:26" ht="20.100000000000001" customHeight="1" x14ac:dyDescent="0.25">
      <c r="A4" s="35"/>
      <c r="B4" s="35"/>
      <c r="C4" s="35"/>
      <c r="D4" s="35"/>
      <c r="E4" s="35"/>
      <c r="F4" s="35"/>
      <c r="G4" s="35"/>
      <c r="H4" s="35"/>
      <c r="I4" s="35"/>
      <c r="J4" s="35"/>
      <c r="K4" s="35"/>
      <c r="L4" s="35"/>
      <c r="M4" s="35"/>
      <c r="N4" s="35"/>
      <c r="O4" s="35"/>
      <c r="P4" s="35"/>
      <c r="Q4" s="35"/>
      <c r="R4" s="35"/>
      <c r="S4" s="35"/>
      <c r="T4" s="35"/>
      <c r="U4" s="35"/>
      <c r="V4" s="35"/>
      <c r="W4" s="35"/>
      <c r="X4" s="35"/>
      <c r="Y4" s="35"/>
      <c r="Z4" s="35"/>
    </row>
    <row r="5" spans="1:26" ht="20.100000000000001" customHeight="1" x14ac:dyDescent="0.25">
      <c r="A5" s="35"/>
      <c r="B5" s="35"/>
      <c r="C5" s="55"/>
      <c r="D5" s="55"/>
      <c r="E5" s="55"/>
      <c r="F5" s="55"/>
      <c r="G5" s="55"/>
      <c r="H5" s="35"/>
      <c r="I5" s="55"/>
      <c r="J5" s="55"/>
      <c r="K5" s="35"/>
      <c r="L5" s="55"/>
      <c r="M5" s="55"/>
      <c r="N5" s="35"/>
      <c r="O5" s="35"/>
      <c r="P5" s="35"/>
      <c r="Q5" s="35"/>
      <c r="R5" s="35"/>
      <c r="S5" s="35"/>
      <c r="T5" s="35"/>
      <c r="U5" s="35"/>
      <c r="V5" s="35"/>
      <c r="W5" s="35"/>
      <c r="X5" s="35"/>
      <c r="Y5" s="35"/>
      <c r="Z5" s="35"/>
    </row>
    <row r="6" spans="1:26" ht="20.100000000000001" customHeight="1" x14ac:dyDescent="0.25">
      <c r="A6" s="35"/>
      <c r="B6" s="50" t="s">
        <v>191</v>
      </c>
      <c r="C6" s="50"/>
      <c r="D6" s="50"/>
      <c r="E6" s="55"/>
      <c r="F6" s="55"/>
      <c r="G6" s="50" t="s">
        <v>192</v>
      </c>
      <c r="H6" s="50"/>
      <c r="I6" s="50"/>
      <c r="J6" s="55"/>
      <c r="K6" s="35"/>
      <c r="L6" s="50" t="s">
        <v>193</v>
      </c>
      <c r="M6" s="50"/>
      <c r="N6" s="50"/>
      <c r="O6" s="35"/>
      <c r="P6" s="35"/>
      <c r="Q6" s="50" t="s">
        <v>189</v>
      </c>
      <c r="R6" s="50"/>
      <c r="S6" s="50"/>
      <c r="T6" s="35"/>
      <c r="U6" s="35"/>
      <c r="V6" s="35"/>
      <c r="W6" s="35"/>
      <c r="X6" s="35"/>
      <c r="Y6" s="35"/>
      <c r="Z6" s="35"/>
    </row>
    <row r="7" spans="1:26" ht="20.100000000000001" customHeight="1" x14ac:dyDescent="0.25">
      <c r="A7" s="35"/>
      <c r="B7" s="50"/>
      <c r="C7" s="50"/>
      <c r="D7" s="50"/>
      <c r="E7" s="35"/>
      <c r="F7" s="35"/>
      <c r="G7" s="50"/>
      <c r="H7" s="50"/>
      <c r="I7" s="50"/>
      <c r="J7" s="35"/>
      <c r="K7" s="35"/>
      <c r="L7" s="50"/>
      <c r="M7" s="50"/>
      <c r="N7" s="50"/>
      <c r="O7" s="35"/>
      <c r="P7" s="35"/>
      <c r="Q7" s="50"/>
      <c r="R7" s="50"/>
      <c r="S7" s="50"/>
      <c r="T7" s="35"/>
      <c r="U7" s="35"/>
      <c r="V7" s="35"/>
      <c r="W7" s="35"/>
      <c r="X7" s="35"/>
      <c r="Y7" s="35"/>
      <c r="Z7" s="35"/>
    </row>
    <row r="8" spans="1:26" ht="20.100000000000001" customHeight="1" x14ac:dyDescent="0.25">
      <c r="A8" s="35"/>
      <c r="B8" s="107">
        <f>O40</f>
        <v>248481152.74482101</v>
      </c>
      <c r="C8" s="107"/>
      <c r="D8" s="108" t="s">
        <v>228</v>
      </c>
      <c r="E8" s="35"/>
      <c r="F8" s="35"/>
      <c r="G8" s="107">
        <f>P40</f>
        <v>205761456.98456991</v>
      </c>
      <c r="H8" s="107"/>
      <c r="I8" s="108" t="s">
        <v>228</v>
      </c>
      <c r="J8" s="35"/>
      <c r="K8" s="35"/>
      <c r="L8" s="127">
        <f>T92</f>
        <v>333.64919245106188</v>
      </c>
      <c r="M8" s="127"/>
      <c r="N8" s="128" t="s">
        <v>236</v>
      </c>
      <c r="O8" s="35"/>
      <c r="P8" s="35"/>
      <c r="Q8" s="109">
        <f>O75</f>
        <v>2.2666666666666666</v>
      </c>
      <c r="R8" s="109"/>
      <c r="S8" s="109"/>
      <c r="T8" s="35"/>
      <c r="U8" s="35"/>
      <c r="V8" s="35"/>
      <c r="W8" s="35"/>
      <c r="X8" s="35"/>
      <c r="Y8" s="35"/>
      <c r="Z8" s="35"/>
    </row>
    <row r="9" spans="1:26" ht="20.100000000000001" customHeight="1" x14ac:dyDescent="0.25">
      <c r="A9" s="35"/>
      <c r="B9" s="107"/>
      <c r="C9" s="107"/>
      <c r="D9" s="51"/>
      <c r="E9" s="35"/>
      <c r="F9" s="35"/>
      <c r="G9" s="107"/>
      <c r="H9" s="107"/>
      <c r="I9" s="51"/>
      <c r="J9" s="35"/>
      <c r="K9" s="35"/>
      <c r="L9" s="127"/>
      <c r="M9" s="127"/>
      <c r="N9" s="129"/>
      <c r="O9" s="35"/>
      <c r="P9" s="35"/>
      <c r="Q9" s="109"/>
      <c r="R9" s="109"/>
      <c r="S9" s="109"/>
      <c r="T9" s="35"/>
      <c r="U9" s="35"/>
      <c r="V9" s="35"/>
      <c r="W9" s="35"/>
      <c r="X9" s="35"/>
      <c r="Y9" s="35"/>
      <c r="Z9" s="35"/>
    </row>
    <row r="10" spans="1:26" ht="20.100000000000001" customHeight="1" x14ac:dyDescent="0.25">
      <c r="A10" s="35"/>
      <c r="B10" s="107"/>
      <c r="C10" s="107"/>
      <c r="D10" s="51"/>
      <c r="E10" s="53"/>
      <c r="F10" s="35"/>
      <c r="G10" s="107"/>
      <c r="H10" s="107"/>
      <c r="I10" s="51"/>
      <c r="J10" s="35"/>
      <c r="K10" s="35"/>
      <c r="L10" s="127"/>
      <c r="M10" s="127"/>
      <c r="N10" s="129"/>
      <c r="O10" s="35"/>
      <c r="P10" s="35"/>
      <c r="Q10" s="109"/>
      <c r="R10" s="109"/>
      <c r="S10" s="109"/>
      <c r="T10" s="35"/>
      <c r="U10" s="35"/>
      <c r="V10" s="35"/>
      <c r="W10" s="35"/>
      <c r="X10" s="35"/>
      <c r="Y10" s="35"/>
      <c r="Z10" s="35"/>
    </row>
    <row r="11" spans="1:26" ht="20.100000000000001" customHeight="1" x14ac:dyDescent="0.25">
      <c r="A11" s="35"/>
      <c r="B11" s="35"/>
      <c r="C11" s="86"/>
      <c r="D11" s="53"/>
      <c r="E11" s="53"/>
      <c r="F11" s="86"/>
      <c r="G11" s="53"/>
      <c r="H11" s="35"/>
      <c r="I11" s="35"/>
      <c r="J11" s="35"/>
      <c r="K11" s="35"/>
      <c r="L11" s="35"/>
      <c r="M11" s="35"/>
      <c r="N11" s="35"/>
      <c r="O11" s="35"/>
      <c r="P11" s="35"/>
      <c r="Q11" s="35"/>
      <c r="R11" s="35"/>
      <c r="S11" s="35"/>
      <c r="T11" s="35"/>
      <c r="U11" s="35"/>
      <c r="V11" s="35"/>
      <c r="W11" s="35"/>
      <c r="X11" s="35"/>
      <c r="Y11" s="35"/>
      <c r="Z11" s="35"/>
    </row>
    <row r="12" spans="1:26" ht="20.100000000000001" customHeight="1" x14ac:dyDescent="0.25">
      <c r="A12" s="35"/>
      <c r="B12" s="35"/>
      <c r="C12" s="39"/>
      <c r="D12" s="35"/>
      <c r="E12" s="35"/>
      <c r="F12" s="39"/>
      <c r="G12" s="35"/>
      <c r="H12" s="35"/>
      <c r="I12" s="35"/>
      <c r="J12" s="35"/>
      <c r="K12" s="35"/>
      <c r="L12" s="35"/>
      <c r="M12" s="35"/>
      <c r="N12" s="35"/>
      <c r="O12" s="35"/>
      <c r="P12" s="35"/>
      <c r="Q12" s="35"/>
      <c r="R12" s="35"/>
      <c r="S12" s="35"/>
      <c r="T12" s="35"/>
      <c r="U12" s="35"/>
      <c r="V12" s="35"/>
      <c r="W12" s="35"/>
      <c r="X12" s="35"/>
      <c r="Y12" s="35"/>
      <c r="Z12" s="35"/>
    </row>
    <row r="13" spans="1:26" ht="20.100000000000001" customHeight="1" x14ac:dyDescent="0.25">
      <c r="A13" s="35"/>
      <c r="B13" s="35"/>
      <c r="C13" s="39"/>
      <c r="D13" s="35"/>
      <c r="E13" s="35"/>
      <c r="F13" s="39"/>
      <c r="G13" s="35"/>
      <c r="H13" s="35"/>
      <c r="I13" s="35"/>
      <c r="J13" s="35"/>
      <c r="K13" s="35"/>
      <c r="L13" s="35"/>
      <c r="M13" s="35"/>
      <c r="N13" s="35"/>
      <c r="O13" s="35"/>
      <c r="P13" s="35"/>
      <c r="Q13" s="35"/>
      <c r="R13" s="35"/>
      <c r="S13" s="35"/>
      <c r="T13" s="35"/>
      <c r="U13" s="35"/>
      <c r="V13" s="35"/>
      <c r="W13" s="35"/>
      <c r="X13" s="35"/>
      <c r="Y13" s="35"/>
      <c r="Z13" s="35"/>
    </row>
    <row r="14" spans="1:26" ht="20.100000000000001" customHeight="1" x14ac:dyDescent="0.25">
      <c r="A14" s="35"/>
      <c r="B14" s="35"/>
      <c r="C14" s="39"/>
      <c r="D14" s="35"/>
      <c r="E14" s="35"/>
      <c r="F14" s="39"/>
      <c r="G14" s="35"/>
      <c r="H14" s="35"/>
      <c r="I14" s="35"/>
      <c r="J14" s="35"/>
      <c r="K14" s="106"/>
      <c r="L14" s="35"/>
      <c r="M14" s="35"/>
      <c r="N14" s="35"/>
      <c r="O14" s="35"/>
      <c r="P14" s="35"/>
      <c r="Q14" s="35"/>
      <c r="R14" s="35"/>
      <c r="S14" s="35"/>
      <c r="T14" s="35"/>
      <c r="U14" s="35"/>
      <c r="V14" s="35"/>
      <c r="W14" s="35"/>
      <c r="X14" s="35"/>
      <c r="Y14" s="35"/>
      <c r="Z14" s="35"/>
    </row>
    <row r="15" spans="1:26" ht="20.100000000000001" customHeight="1" x14ac:dyDescent="0.25">
      <c r="C15" s="56"/>
      <c r="F15" s="56"/>
      <c r="K15" s="70"/>
      <c r="L15" s="18"/>
    </row>
    <row r="16" spans="1:26" ht="20.100000000000001" customHeight="1" x14ac:dyDescent="0.25">
      <c r="B16" s="72" t="s">
        <v>194</v>
      </c>
      <c r="C16" s="72"/>
      <c r="D16" s="72"/>
      <c r="E16" s="72"/>
      <c r="F16" s="72"/>
      <c r="G16" s="72"/>
      <c r="H16" s="72"/>
      <c r="I16" s="72"/>
      <c r="J16" s="72"/>
      <c r="K16" s="72"/>
      <c r="L16" s="18"/>
      <c r="N16" s="66" t="s">
        <v>219</v>
      </c>
      <c r="O16" s="66"/>
      <c r="P16" s="66"/>
      <c r="Q16" s="66"/>
      <c r="R16" s="66"/>
      <c r="S16" s="66"/>
      <c r="T16" s="66"/>
    </row>
    <row r="17" spans="2:20" ht="20.100000000000001" customHeight="1" x14ac:dyDescent="0.25">
      <c r="B17" s="72"/>
      <c r="C17" s="72"/>
      <c r="D17" s="72"/>
      <c r="E17" s="72"/>
      <c r="F17" s="72"/>
      <c r="G17" s="72"/>
      <c r="H17" s="72"/>
      <c r="I17" s="72"/>
      <c r="J17" s="72"/>
      <c r="K17" s="72"/>
      <c r="L17" s="18"/>
      <c r="N17" s="66"/>
      <c r="O17" s="66"/>
      <c r="P17" s="66"/>
      <c r="Q17" s="66"/>
      <c r="R17" s="66"/>
      <c r="S17" s="66"/>
      <c r="T17" s="66"/>
    </row>
    <row r="18" spans="2:20" ht="20.100000000000001" customHeight="1" x14ac:dyDescent="0.25">
      <c r="B18" s="103"/>
      <c r="C18" s="103"/>
      <c r="D18" s="103"/>
      <c r="E18" s="103"/>
      <c r="F18" s="103"/>
      <c r="G18" s="103"/>
      <c r="H18" s="103"/>
      <c r="I18" s="103"/>
      <c r="J18" s="103"/>
      <c r="K18" s="103"/>
      <c r="L18" s="18"/>
      <c r="N18" s="67"/>
      <c r="O18" s="67"/>
      <c r="P18" s="67"/>
      <c r="Q18" s="67"/>
      <c r="R18" s="67"/>
      <c r="S18" s="67"/>
      <c r="T18" s="67"/>
    </row>
    <row r="19" spans="2:20" ht="20.100000000000001" customHeight="1" x14ac:dyDescent="0.25">
      <c r="B19" t="s">
        <v>220</v>
      </c>
      <c r="C19" s="103"/>
      <c r="D19" s="103"/>
      <c r="E19" s="103"/>
      <c r="F19" s="103"/>
      <c r="G19" s="103"/>
      <c r="H19" s="103"/>
      <c r="I19" s="103"/>
      <c r="J19" s="103"/>
      <c r="K19" s="103"/>
      <c r="L19" s="18"/>
      <c r="N19" t="s">
        <v>215</v>
      </c>
      <c r="O19" s="67"/>
      <c r="P19" s="67"/>
      <c r="Q19" s="67"/>
      <c r="R19" s="67"/>
      <c r="S19" s="67"/>
      <c r="T19" s="67"/>
    </row>
    <row r="20" spans="2:20" ht="20.100000000000001" customHeight="1" x14ac:dyDescent="0.25">
      <c r="B20" t="s">
        <v>221</v>
      </c>
      <c r="C20" s="103"/>
      <c r="D20" s="103"/>
      <c r="E20" s="103"/>
      <c r="F20" s="103"/>
      <c r="G20" s="103"/>
      <c r="H20" s="103"/>
      <c r="I20" s="103"/>
      <c r="J20" s="103"/>
      <c r="K20" s="103"/>
      <c r="L20" s="18"/>
      <c r="N20" t="s">
        <v>216</v>
      </c>
      <c r="O20" s="67"/>
      <c r="P20" s="67"/>
      <c r="Q20" s="67"/>
      <c r="R20" s="67"/>
      <c r="S20" s="67"/>
      <c r="T20" s="67"/>
    </row>
    <row r="21" spans="2:20" ht="20.100000000000001" customHeight="1" x14ac:dyDescent="0.25">
      <c r="B21" t="s">
        <v>222</v>
      </c>
      <c r="C21" s="103"/>
      <c r="D21" s="103"/>
      <c r="E21" s="103"/>
      <c r="F21" s="103"/>
      <c r="G21" s="103"/>
      <c r="H21" s="103"/>
      <c r="I21" s="103"/>
      <c r="J21" s="103"/>
      <c r="K21" s="103"/>
      <c r="L21" s="18"/>
      <c r="N21" t="s">
        <v>217</v>
      </c>
      <c r="O21" s="67"/>
      <c r="P21" s="67"/>
      <c r="Q21" s="67"/>
      <c r="R21" s="67"/>
      <c r="S21" s="67"/>
      <c r="T21" s="67"/>
    </row>
    <row r="22" spans="2:20" ht="20.100000000000001" customHeight="1" x14ac:dyDescent="0.25">
      <c r="B22" t="s">
        <v>223</v>
      </c>
      <c r="C22" s="103"/>
      <c r="D22" s="103"/>
      <c r="E22" s="103"/>
      <c r="F22" s="103"/>
      <c r="G22" s="103"/>
      <c r="H22" s="103"/>
      <c r="I22" s="103"/>
      <c r="J22" s="103"/>
      <c r="K22" s="103"/>
      <c r="L22" s="18"/>
      <c r="N22" t="s">
        <v>218</v>
      </c>
      <c r="O22" s="67"/>
      <c r="P22" s="67"/>
      <c r="Q22" s="67"/>
      <c r="R22" s="67"/>
      <c r="S22" s="67"/>
      <c r="T22" s="67"/>
    </row>
    <row r="23" spans="2:20" ht="20.100000000000001" customHeight="1" x14ac:dyDescent="0.25">
      <c r="B23" s="103"/>
      <c r="C23" s="103"/>
      <c r="D23" s="103"/>
      <c r="E23" s="103"/>
      <c r="F23" s="103"/>
      <c r="G23" s="103"/>
      <c r="H23" s="103"/>
      <c r="I23" s="103"/>
      <c r="J23" s="103"/>
      <c r="K23" s="103"/>
      <c r="L23" s="18"/>
      <c r="N23" s="105" t="s">
        <v>225</v>
      </c>
      <c r="O23" s="67"/>
      <c r="P23" s="67"/>
      <c r="Q23" s="67"/>
      <c r="R23" s="67"/>
      <c r="S23" s="67"/>
      <c r="T23" s="67"/>
    </row>
    <row r="24" spans="2:20" ht="20.100000000000001" customHeight="1" x14ac:dyDescent="0.25">
      <c r="B24" s="103"/>
      <c r="C24" s="103"/>
      <c r="D24" s="103"/>
      <c r="E24" s="103"/>
      <c r="F24" s="103"/>
      <c r="G24" s="103"/>
      <c r="H24" s="103"/>
      <c r="I24" s="103"/>
      <c r="J24" s="103"/>
      <c r="K24" s="103"/>
      <c r="L24" s="18"/>
      <c r="N24" s="105" t="s">
        <v>226</v>
      </c>
      <c r="O24" s="67"/>
      <c r="P24" s="67"/>
      <c r="Q24" s="67"/>
      <c r="R24" s="67"/>
      <c r="S24" s="67"/>
      <c r="T24" s="67"/>
    </row>
    <row r="25" spans="2:20" ht="20.100000000000001" customHeight="1" x14ac:dyDescent="0.25">
      <c r="B25" s="103"/>
      <c r="C25" s="103"/>
      <c r="D25" s="103"/>
      <c r="E25" s="103"/>
      <c r="F25" s="103"/>
      <c r="G25" s="103"/>
      <c r="H25" s="103"/>
      <c r="I25" s="103"/>
      <c r="J25" s="103"/>
      <c r="K25" s="103"/>
      <c r="L25" s="18"/>
      <c r="N25" s="105" t="s">
        <v>227</v>
      </c>
      <c r="O25" s="67"/>
      <c r="P25" s="67"/>
      <c r="Q25" s="67"/>
      <c r="R25" s="67"/>
      <c r="S25" s="67"/>
      <c r="T25" s="67"/>
    </row>
    <row r="26" spans="2:20" ht="20.100000000000001" customHeight="1" x14ac:dyDescent="0.25">
      <c r="B26" s="103"/>
      <c r="C26" s="103"/>
      <c r="D26" s="103"/>
      <c r="E26" s="103"/>
      <c r="F26" s="103"/>
      <c r="G26" s="103"/>
      <c r="H26" s="103"/>
      <c r="I26" s="103"/>
      <c r="J26" s="103"/>
      <c r="K26" s="103"/>
      <c r="L26" s="18"/>
      <c r="N26" s="67"/>
      <c r="O26" s="67"/>
      <c r="P26" s="67"/>
      <c r="Q26" s="67"/>
      <c r="R26" s="67"/>
      <c r="S26" s="67"/>
      <c r="T26" s="67"/>
    </row>
    <row r="27" spans="2:20" ht="20.100000000000001" customHeight="1" x14ac:dyDescent="0.25">
      <c r="B27" s="67"/>
      <c r="C27" s="67"/>
      <c r="D27" s="67"/>
      <c r="E27" s="67"/>
      <c r="K27" s="70"/>
      <c r="L27" s="18"/>
    </row>
    <row r="28" spans="2:20" ht="20.100000000000001" customHeight="1" x14ac:dyDescent="0.25">
      <c r="B28" s="81" t="s">
        <v>196</v>
      </c>
      <c r="C28" s="68"/>
      <c r="D28" s="68"/>
      <c r="E28" s="68"/>
      <c r="F28" s="68"/>
      <c r="G28" s="68"/>
      <c r="H28" s="68"/>
      <c r="I28" s="68"/>
      <c r="J28" s="68"/>
      <c r="K28" s="70"/>
      <c r="L28" s="18"/>
      <c r="N28" s="81" t="s">
        <v>211</v>
      </c>
      <c r="O28" s="68"/>
      <c r="P28" s="68"/>
      <c r="Q28" s="68"/>
      <c r="R28" s="68"/>
    </row>
    <row r="29" spans="2:20" ht="20.100000000000001" customHeight="1" x14ac:dyDescent="0.25">
      <c r="B29" s="32"/>
      <c r="K29" s="70"/>
      <c r="L29" s="18"/>
    </row>
    <row r="30" spans="2:20" ht="18" customHeight="1" x14ac:dyDescent="0.25">
      <c r="B30" s="73" t="s">
        <v>68</v>
      </c>
      <c r="C30" s="68" t="s">
        <v>195</v>
      </c>
      <c r="D30" s="68"/>
      <c r="E30" s="68"/>
      <c r="F30" s="68"/>
      <c r="G30" s="68"/>
      <c r="H30" s="68"/>
      <c r="I30" s="68"/>
      <c r="J30" s="69"/>
      <c r="K30" s="68"/>
      <c r="L30" s="18"/>
      <c r="N30" s="85"/>
      <c r="O30" s="85"/>
      <c r="P30" s="85"/>
      <c r="Q30" s="85"/>
      <c r="R30" s="85"/>
    </row>
    <row r="31" spans="2:20" ht="57" customHeight="1" x14ac:dyDescent="0.25">
      <c r="B31" s="71" t="s">
        <v>65</v>
      </c>
      <c r="C31" s="68" t="s">
        <v>19</v>
      </c>
      <c r="D31" s="68" t="s">
        <v>40</v>
      </c>
      <c r="E31" s="68" t="s">
        <v>17</v>
      </c>
      <c r="F31" s="68" t="s">
        <v>36</v>
      </c>
      <c r="G31" s="68" t="s">
        <v>2</v>
      </c>
      <c r="H31" s="68" t="s">
        <v>0</v>
      </c>
      <c r="I31" s="68" t="s">
        <v>26</v>
      </c>
      <c r="J31" s="68" t="s">
        <v>95</v>
      </c>
      <c r="K31" s="69" t="s">
        <v>67</v>
      </c>
      <c r="L31" s="18"/>
      <c r="N31" s="99" t="s">
        <v>214</v>
      </c>
      <c r="O31" s="99" t="s">
        <v>212</v>
      </c>
      <c r="P31" s="99" t="s">
        <v>210</v>
      </c>
      <c r="Q31" s="99" t="s">
        <v>209</v>
      </c>
      <c r="R31" s="99" t="s">
        <v>213</v>
      </c>
    </row>
    <row r="32" spans="2:20" ht="15" x14ac:dyDescent="0.25">
      <c r="B32" s="25" t="s">
        <v>37</v>
      </c>
      <c r="C32" s="26">
        <v>5</v>
      </c>
      <c r="D32" s="26"/>
      <c r="E32" s="26">
        <v>20</v>
      </c>
      <c r="F32" s="26"/>
      <c r="G32" s="26"/>
      <c r="H32" s="26"/>
      <c r="I32" s="26"/>
      <c r="J32" s="26"/>
      <c r="K32" s="27">
        <v>25</v>
      </c>
      <c r="L32" s="18"/>
      <c r="N32" t="str">
        <f>B65</f>
        <v>Business Loan</v>
      </c>
      <c r="O32" s="20">
        <f>SUMIFS(Committed_Emissions[Attributed_Emissions (MT CO2e)], Committed_Emissions[Asset_Class], '01_Executive_Summary'!N32)</f>
        <v>127032527.52234949</v>
      </c>
      <c r="P32" s="20">
        <f>SUMIFS(Funded_Emissions[Attributed_Emissions (MT CO2e)], Funded_Emissions[Asset_Class], '01_Executive_Summary'!N32)</f>
        <v>84460285.444003135</v>
      </c>
      <c r="Q32" s="44">
        <f>O32-P32</f>
        <v>42572242.078346357</v>
      </c>
      <c r="R32" s="97">
        <f>IFERROR(Q32/P32, 0)</f>
        <v>0.50405041676743567</v>
      </c>
    </row>
    <row r="33" spans="2:18" ht="15" x14ac:dyDescent="0.25">
      <c r="B33" s="25" t="s">
        <v>4</v>
      </c>
      <c r="C33" s="26">
        <v>35</v>
      </c>
      <c r="D33" s="26"/>
      <c r="E33" s="26"/>
      <c r="F33" s="26"/>
      <c r="G33" s="26"/>
      <c r="H33" s="26"/>
      <c r="I33" s="26"/>
      <c r="J33" s="26"/>
      <c r="K33" s="27">
        <v>35</v>
      </c>
      <c r="L33" s="18"/>
      <c r="N33" t="str">
        <f>B66</f>
        <v>Commercial Real Estate</v>
      </c>
      <c r="O33" s="20">
        <f>SUMIFS(Committed_Emissions[Attributed_Emissions (MT CO2e)], Committed_Emissions[Asset_Class], '01_Executive_Summary'!N33)</f>
        <v>1993.3999999999999</v>
      </c>
      <c r="P33" s="20">
        <f>SUMIFS(Funded_Emissions[Attributed_Emissions (MT CO2e)], Funded_Emissions[Asset_Class], '01_Executive_Summary'!N33)</f>
        <v>1328.9333333333334</v>
      </c>
      <c r="Q33" s="44">
        <f t="shared" ref="Q33:Q40" si="0">O33-P33</f>
        <v>664.46666666666647</v>
      </c>
      <c r="R33" s="97">
        <f t="shared" ref="R33:R40" si="1">IFERROR(Q33/P33, 0)</f>
        <v>0.49999999999999983</v>
      </c>
    </row>
    <row r="34" spans="2:18" ht="15" x14ac:dyDescent="0.25">
      <c r="B34" s="25" t="s">
        <v>29</v>
      </c>
      <c r="C34" s="26">
        <v>4.5</v>
      </c>
      <c r="D34" s="26"/>
      <c r="E34" s="26"/>
      <c r="F34" s="26"/>
      <c r="G34" s="26"/>
      <c r="H34" s="26"/>
      <c r="I34" s="26"/>
      <c r="J34" s="26"/>
      <c r="K34" s="27">
        <v>4.5</v>
      </c>
      <c r="L34" s="18"/>
      <c r="N34" t="str">
        <f>B67</f>
        <v>Corp. Bond</v>
      </c>
      <c r="O34" s="20">
        <f>SUMIFS(Committed_Emissions[Attributed_Emissions (MT CO2e)], Committed_Emissions[Asset_Class], '01_Executive_Summary'!N34)</f>
        <v>87073058.671824247</v>
      </c>
      <c r="P34" s="20">
        <f>SUMIFS(Funded_Emissions[Attributed_Emissions (MT CO2e)], Funded_Emissions[Asset_Class], '01_Executive_Summary'!N34)</f>
        <v>87073058.671824247</v>
      </c>
      <c r="Q34" s="44">
        <f t="shared" si="0"/>
        <v>0</v>
      </c>
      <c r="R34" s="97">
        <f t="shared" si="1"/>
        <v>0</v>
      </c>
    </row>
    <row r="35" spans="2:18" ht="15" x14ac:dyDescent="0.25">
      <c r="B35" s="25" t="s">
        <v>5</v>
      </c>
      <c r="C35" s="26">
        <v>20</v>
      </c>
      <c r="D35" s="26"/>
      <c r="E35" s="26"/>
      <c r="F35" s="26"/>
      <c r="G35" s="26"/>
      <c r="H35" s="26"/>
      <c r="I35" s="26"/>
      <c r="J35" s="26"/>
      <c r="K35" s="27">
        <v>20</v>
      </c>
      <c r="L35" s="18"/>
      <c r="N35" t="str">
        <f>B68</f>
        <v>Mortgages</v>
      </c>
      <c r="O35" s="20">
        <f>SUMIFS(Committed_Emissions[Attributed_Emissions (MT CO2e)], Committed_Emissions[Asset_Class], '01_Executive_Summary'!N35)</f>
        <v>1889.6000000000001</v>
      </c>
      <c r="P35" s="20">
        <f>SUMIFS(Funded_Emissions[Attributed_Emissions (MT CO2e)], Funded_Emissions[Asset_Class], '01_Executive_Summary'!N35)</f>
        <v>881.81333333333328</v>
      </c>
      <c r="Q35" s="44">
        <f t="shared" si="0"/>
        <v>1007.7866666666669</v>
      </c>
      <c r="R35" s="97">
        <f t="shared" si="1"/>
        <v>1.1428571428571432</v>
      </c>
    </row>
    <row r="36" spans="2:18" ht="15" x14ac:dyDescent="0.25">
      <c r="B36" s="25" t="s">
        <v>28</v>
      </c>
      <c r="C36" s="26"/>
      <c r="D36" s="26"/>
      <c r="E36" s="26">
        <v>50</v>
      </c>
      <c r="F36" s="26"/>
      <c r="G36" s="26"/>
      <c r="H36" s="26"/>
      <c r="I36" s="26"/>
      <c r="J36" s="26"/>
      <c r="K36" s="27">
        <v>50</v>
      </c>
      <c r="L36" s="18"/>
      <c r="N36" t="str">
        <f>B69</f>
        <v>Project Finance</v>
      </c>
      <c r="O36" s="20">
        <f>SUMIFS(Committed_Emissions[Attributed_Emissions (MT CO2e)], Committed_Emissions[Asset_Class], '01_Executive_Summary'!N36)</f>
        <v>496688.57142857142</v>
      </c>
      <c r="P36" s="20">
        <f>SUMIFS(Funded_Emissions[Attributed_Emissions (MT CO2e)], Funded_Emissions[Asset_Class], '01_Executive_Summary'!N36)</f>
        <v>413907.14285714284</v>
      </c>
      <c r="Q36" s="44">
        <f t="shared" si="0"/>
        <v>82781.42857142858</v>
      </c>
      <c r="R36" s="97">
        <f t="shared" si="1"/>
        <v>0.20000000000000004</v>
      </c>
    </row>
    <row r="37" spans="2:18" ht="15" x14ac:dyDescent="0.25">
      <c r="B37" s="25" t="s">
        <v>64</v>
      </c>
      <c r="C37" s="26">
        <v>10</v>
      </c>
      <c r="D37" s="26"/>
      <c r="E37" s="26">
        <v>10</v>
      </c>
      <c r="F37" s="26"/>
      <c r="G37" s="26"/>
      <c r="H37" s="26"/>
      <c r="I37" s="26"/>
      <c r="J37" s="26"/>
      <c r="K37" s="27">
        <v>20</v>
      </c>
      <c r="L37" s="18"/>
      <c r="N37" t="str">
        <f>B70</f>
        <v>Sovereign Debt</v>
      </c>
      <c r="O37" s="20">
        <f>SUMIFS(Committed_Emissions[Attributed_Emissions (MT CO2e)], Committed_Emissions[Asset_Class], '01_Executive_Summary'!N37)</f>
        <v>27167088.607594937</v>
      </c>
      <c r="P37" s="20">
        <f>SUMIFS(Funded_Emissions[Attributed_Emissions (MT CO2e)], Funded_Emissions[Asset_Class], '01_Executive_Summary'!N37)</f>
        <v>27167088.607594937</v>
      </c>
      <c r="Q37" s="44">
        <f t="shared" si="0"/>
        <v>0</v>
      </c>
      <c r="R37" s="97">
        <f t="shared" si="1"/>
        <v>0</v>
      </c>
    </row>
    <row r="38" spans="2:18" ht="15" x14ac:dyDescent="0.25">
      <c r="B38" s="25" t="s">
        <v>30</v>
      </c>
      <c r="C38" s="26">
        <v>25</v>
      </c>
      <c r="D38" s="26"/>
      <c r="E38" s="26">
        <v>35</v>
      </c>
      <c r="F38" s="26"/>
      <c r="G38" s="26"/>
      <c r="H38" s="26"/>
      <c r="I38" s="26"/>
      <c r="J38" s="26"/>
      <c r="K38" s="27">
        <v>60</v>
      </c>
      <c r="L38" s="18"/>
      <c r="N38" t="str">
        <f>B71</f>
        <v>Tax Equity</v>
      </c>
      <c r="O38" s="20">
        <f>SUMIFS(Committed_Emissions[Attributed_Emissions (MT CO2e)], Committed_Emissions[Asset_Class], '01_Executive_Summary'!N38)</f>
        <v>210000</v>
      </c>
      <c r="P38" s="20">
        <f>SUMIFS(Funded_Emissions[Attributed_Emissions (MT CO2e)], Funded_Emissions[Asset_Class], '01_Executive_Summary'!N38)</f>
        <v>147000</v>
      </c>
      <c r="Q38" s="44">
        <f t="shared" si="0"/>
        <v>63000</v>
      </c>
      <c r="R38" s="97">
        <f t="shared" si="1"/>
        <v>0.42857142857142855</v>
      </c>
    </row>
    <row r="39" spans="2:18" ht="15" x14ac:dyDescent="0.25">
      <c r="B39" s="25" t="s">
        <v>34</v>
      </c>
      <c r="C39" s="26"/>
      <c r="D39" s="26">
        <v>0.3</v>
      </c>
      <c r="E39" s="26"/>
      <c r="F39" s="26">
        <v>0.75</v>
      </c>
      <c r="G39" s="26"/>
      <c r="H39" s="26"/>
      <c r="I39" s="26"/>
      <c r="J39" s="26"/>
      <c r="K39" s="27">
        <v>1.05</v>
      </c>
      <c r="L39" s="18"/>
      <c r="N39" t="str">
        <f>B72</f>
        <v>Sub-Sovereign Debt</v>
      </c>
      <c r="O39" s="20">
        <f>SUMIFS(Committed_Emissions[Attributed_Emissions (MT CO2e)], Committed_Emissions[Asset_Class], '01_Executive_Summary'!N39)</f>
        <v>6497906.3716237796</v>
      </c>
      <c r="P39" s="20">
        <f>SUMIFS(Funded_Emissions[Attributed_Emissions (MT CO2e)], Funded_Emissions[Asset_Class], '01_Executive_Summary'!N39)</f>
        <v>6497906.3716237796</v>
      </c>
      <c r="Q39" s="44">
        <f t="shared" si="0"/>
        <v>0</v>
      </c>
      <c r="R39" s="97">
        <f t="shared" si="1"/>
        <v>0</v>
      </c>
    </row>
    <row r="40" spans="2:18" ht="15" x14ac:dyDescent="0.25">
      <c r="B40" s="25" t="s">
        <v>6</v>
      </c>
      <c r="C40" s="26">
        <v>5</v>
      </c>
      <c r="D40" s="26"/>
      <c r="E40" s="26"/>
      <c r="F40" s="26"/>
      <c r="G40" s="26">
        <v>30</v>
      </c>
      <c r="H40" s="26"/>
      <c r="I40" s="26">
        <v>10</v>
      </c>
      <c r="J40" s="26"/>
      <c r="K40" s="27">
        <v>45</v>
      </c>
      <c r="L40" s="18"/>
      <c r="N40" s="100" t="s">
        <v>67</v>
      </c>
      <c r="O40" s="101">
        <f>SUM(O32:O39)</f>
        <v>248481152.74482101</v>
      </c>
      <c r="P40" s="101">
        <f>SUM(P32:P39)</f>
        <v>205761456.98456991</v>
      </c>
      <c r="Q40" s="101">
        <f t="shared" si="0"/>
        <v>42719695.760251105</v>
      </c>
      <c r="R40" s="102">
        <f t="shared" si="1"/>
        <v>0.20761758001866532</v>
      </c>
    </row>
    <row r="41" spans="2:18" ht="15" x14ac:dyDescent="0.25">
      <c r="B41" s="25" t="s">
        <v>3</v>
      </c>
      <c r="C41" s="26"/>
      <c r="D41" s="26"/>
      <c r="E41" s="26"/>
      <c r="F41" s="26"/>
      <c r="G41" s="26"/>
      <c r="H41" s="26">
        <v>300</v>
      </c>
      <c r="I41" s="26"/>
      <c r="J41" s="26">
        <v>100</v>
      </c>
      <c r="K41" s="27">
        <v>400</v>
      </c>
      <c r="L41" s="18"/>
    </row>
    <row r="42" spans="2:18" ht="15" x14ac:dyDescent="0.25">
      <c r="B42" s="25" t="s">
        <v>67</v>
      </c>
      <c r="C42" s="26">
        <v>104.5</v>
      </c>
      <c r="D42" s="26">
        <v>0.3</v>
      </c>
      <c r="E42" s="26">
        <v>115</v>
      </c>
      <c r="F42" s="26">
        <v>0.75</v>
      </c>
      <c r="G42" s="26">
        <v>30</v>
      </c>
      <c r="H42" s="26">
        <v>300</v>
      </c>
      <c r="I42" s="26">
        <v>10</v>
      </c>
      <c r="J42" s="26">
        <v>100</v>
      </c>
      <c r="K42" s="27">
        <v>660.55</v>
      </c>
      <c r="L42" s="18"/>
    </row>
    <row r="43" spans="2:18" ht="20.100000000000001" customHeight="1" x14ac:dyDescent="0.25">
      <c r="K43" s="70"/>
      <c r="L43" s="18"/>
    </row>
    <row r="44" spans="2:18" ht="20.100000000000001" customHeight="1" x14ac:dyDescent="0.25">
      <c r="K44" s="70"/>
      <c r="L44" s="18"/>
    </row>
    <row r="45" spans="2:18" ht="20.100000000000001" customHeight="1" x14ac:dyDescent="0.25">
      <c r="B45" s="81" t="s">
        <v>161</v>
      </c>
      <c r="C45" s="68"/>
      <c r="D45" s="68"/>
      <c r="E45" s="68"/>
      <c r="F45" s="68"/>
      <c r="G45" s="68"/>
      <c r="K45" s="70"/>
      <c r="L45" s="18"/>
    </row>
    <row r="46" spans="2:18" ht="45" x14ac:dyDescent="0.25">
      <c r="B46" s="92" t="s">
        <v>197</v>
      </c>
      <c r="C46" s="93">
        <f>GETPIVOTDATA("Funded Exposure ($B)",$B$47)</f>
        <v>616.70000000000005</v>
      </c>
      <c r="D46" s="92"/>
      <c r="E46" s="92" t="s">
        <v>199</v>
      </c>
      <c r="F46" s="94">
        <f>GETPIVOTDATA("Total Committments ($B)",$B$47)-GETPIVOTDATA("Funded Exposure ($B)",$B$47)</f>
        <v>43.849999999999909</v>
      </c>
      <c r="G46" s="95"/>
      <c r="K46" s="70"/>
      <c r="L46" s="18"/>
      <c r="N46" s="81" t="s">
        <v>224</v>
      </c>
      <c r="O46" s="68"/>
      <c r="P46" s="68"/>
      <c r="Q46" s="68"/>
      <c r="R46" s="68"/>
    </row>
    <row r="47" spans="2:18" ht="60" x14ac:dyDescent="0.25">
      <c r="B47" s="79" t="s">
        <v>66</v>
      </c>
      <c r="C47" s="77" t="s">
        <v>202</v>
      </c>
      <c r="D47" s="78" t="s">
        <v>203</v>
      </c>
      <c r="E47" s="87" t="s">
        <v>198</v>
      </c>
      <c r="F47" s="79" t="s">
        <v>206</v>
      </c>
      <c r="G47" s="91" t="s">
        <v>208</v>
      </c>
      <c r="K47" s="70"/>
      <c r="L47" s="18"/>
      <c r="N47" s="99" t="s">
        <v>1</v>
      </c>
      <c r="O47" s="99" t="s">
        <v>212</v>
      </c>
      <c r="P47" s="99" t="s">
        <v>210</v>
      </c>
      <c r="Q47" s="99" t="s">
        <v>209</v>
      </c>
      <c r="R47" s="99" t="s">
        <v>213</v>
      </c>
    </row>
    <row r="48" spans="2:18" ht="15" x14ac:dyDescent="0.25">
      <c r="B48" s="57" t="s">
        <v>37</v>
      </c>
      <c r="C48" s="61">
        <v>25</v>
      </c>
      <c r="D48" s="62">
        <v>22</v>
      </c>
      <c r="E48" s="74">
        <v>3.7847248505033688E-2</v>
      </c>
      <c r="F48" s="63">
        <v>3.5673747365007294E-2</v>
      </c>
      <c r="G48" s="82">
        <v>0.88</v>
      </c>
      <c r="K48" s="70"/>
      <c r="L48" s="18"/>
      <c r="N48" t="str">
        <f>B48</f>
        <v>Agriculture</v>
      </c>
      <c r="O48" s="20">
        <f>SUMIFS(Committed_Emissions[Attributed_Emissions (MT CO2e)], Committed_Emissions[Sector], '01_Executive_Summary'!N48)</f>
        <v>45684024.224137932</v>
      </c>
      <c r="P48" s="20">
        <f>SUMIFS(Funded_Emissions[Attributed_Emissions (MT CO2e)], Funded_Emissions[Sector], '01_Executive_Summary'!N48)</f>
        <v>45454336.724137932</v>
      </c>
      <c r="Q48" s="44">
        <f>O48-P48</f>
        <v>229687.5</v>
      </c>
      <c r="R48" s="97">
        <f>IFERROR(Q48/P48, 0)</f>
        <v>5.0531482044050471E-3</v>
      </c>
    </row>
    <row r="49" spans="2:18" ht="15" x14ac:dyDescent="0.25">
      <c r="B49" s="58" t="s">
        <v>4</v>
      </c>
      <c r="C49" s="64">
        <v>35</v>
      </c>
      <c r="D49" s="28">
        <v>25</v>
      </c>
      <c r="E49" s="75">
        <v>5.2986147907047164E-2</v>
      </c>
      <c r="F49" s="29">
        <v>4.0538349278417381E-2</v>
      </c>
      <c r="G49" s="83">
        <v>0.7142857142857143</v>
      </c>
      <c r="K49" s="70"/>
      <c r="L49" s="18"/>
      <c r="N49" t="str">
        <f>B49</f>
        <v>Financials</v>
      </c>
      <c r="O49" s="20">
        <f>SUMIFS(Committed_Emissions[Attributed_Emissions (MT CO2e)], Committed_Emissions[Sector], '01_Executive_Summary'!N49)</f>
        <v>89389.308318264011</v>
      </c>
      <c r="P49" s="20">
        <f>SUMIFS(Funded_Emissions[Attributed_Emissions (MT CO2e)], Funded_Emissions[Sector], '01_Executive_Summary'!N49)</f>
        <v>63849.50594161715</v>
      </c>
      <c r="Q49" s="44">
        <f t="shared" ref="Q49:Q58" si="2">O49-P49</f>
        <v>25539.802376646861</v>
      </c>
      <c r="R49" s="97">
        <f t="shared" ref="R49:R58" si="3">IFERROR(Q49/P49, 0)</f>
        <v>0.4</v>
      </c>
    </row>
    <row r="50" spans="2:18" ht="15" x14ac:dyDescent="0.25">
      <c r="B50" s="58" t="s">
        <v>29</v>
      </c>
      <c r="C50" s="64">
        <v>4.5</v>
      </c>
      <c r="D50" s="28">
        <v>2.15</v>
      </c>
      <c r="E50" s="75">
        <v>6.8125047309060636E-3</v>
      </c>
      <c r="F50" s="29">
        <v>3.4862980379438946E-3</v>
      </c>
      <c r="G50" s="83">
        <v>0.47777777777777775</v>
      </c>
      <c r="K50" s="70"/>
      <c r="L50" s="18"/>
      <c r="N50" t="str">
        <f>B50</f>
        <v>Healthcare</v>
      </c>
      <c r="O50" s="20">
        <f>SUMIFS(Committed_Emissions[Attributed_Emissions (MT CO2e)], Committed_Emissions[Sector], '01_Executive_Summary'!N50)</f>
        <v>82370.232077924229</v>
      </c>
      <c r="P50" s="20">
        <f>SUMIFS(Funded_Emissions[Attributed_Emissions (MT CO2e)], Funded_Emissions[Sector], '01_Executive_Summary'!N50)</f>
        <v>39354.666437230466</v>
      </c>
      <c r="Q50" s="44">
        <f t="shared" si="2"/>
        <v>43015.565640693763</v>
      </c>
      <c r="R50" s="97">
        <f t="shared" si="3"/>
        <v>1.0930232558139534</v>
      </c>
    </row>
    <row r="51" spans="2:18" ht="15" x14ac:dyDescent="0.25">
      <c r="B51" s="58" t="s">
        <v>5</v>
      </c>
      <c r="C51" s="64">
        <v>20</v>
      </c>
      <c r="D51" s="28">
        <v>15</v>
      </c>
      <c r="E51" s="75">
        <v>3.0277798804026951E-2</v>
      </c>
      <c r="F51" s="29">
        <v>2.4323009567050427E-2</v>
      </c>
      <c r="G51" s="83">
        <v>0.75</v>
      </c>
      <c r="K51" s="70"/>
      <c r="L51" s="18"/>
      <c r="N51" t="str">
        <f>B51</f>
        <v>Industrials</v>
      </c>
      <c r="O51" s="20">
        <f>SUMIFS(Committed_Emissions[Attributed_Emissions (MT CO2e)], Committed_Emissions[Sector], '01_Executive_Summary'!N51)</f>
        <v>51698007.297221437</v>
      </c>
      <c r="P51" s="20">
        <f>SUMIFS(Funded_Emissions[Attributed_Emissions (MT CO2e)], Funded_Emissions[Sector], '01_Executive_Summary'!N51)</f>
        <v>38773505.472916074</v>
      </c>
      <c r="Q51" s="44">
        <f t="shared" si="2"/>
        <v>12924501.824305363</v>
      </c>
      <c r="R51" s="97">
        <f t="shared" si="3"/>
        <v>0.33333333333333348</v>
      </c>
    </row>
    <row r="52" spans="2:18" ht="15" x14ac:dyDescent="0.25">
      <c r="B52" s="58" t="s">
        <v>28</v>
      </c>
      <c r="C52" s="64">
        <v>50</v>
      </c>
      <c r="D52" s="28">
        <v>50</v>
      </c>
      <c r="E52" s="75">
        <v>7.5694497010067377E-2</v>
      </c>
      <c r="F52" s="29">
        <v>8.1076698556834761E-2</v>
      </c>
      <c r="G52" s="83">
        <v>1</v>
      </c>
      <c r="K52" s="70"/>
      <c r="L52" s="18"/>
      <c r="N52" t="str">
        <f>B52</f>
        <v>IT</v>
      </c>
      <c r="O52" s="20">
        <f>SUMIFS(Committed_Emissions[Attributed_Emissions (MT CO2e)], Committed_Emissions[Sector], '01_Executive_Summary'!N52)</f>
        <v>209289.36142709409</v>
      </c>
      <c r="P52" s="20">
        <f>SUMIFS(Funded_Emissions[Attributed_Emissions (MT CO2e)], Funded_Emissions[Sector], '01_Executive_Summary'!N52)</f>
        <v>209289.36142709409</v>
      </c>
      <c r="Q52" s="44">
        <f t="shared" si="2"/>
        <v>0</v>
      </c>
      <c r="R52" s="97">
        <f t="shared" si="3"/>
        <v>0</v>
      </c>
    </row>
    <row r="53" spans="2:18" ht="15" x14ac:dyDescent="0.25">
      <c r="B53" s="58" t="s">
        <v>64</v>
      </c>
      <c r="C53" s="64">
        <v>20</v>
      </c>
      <c r="D53" s="28">
        <v>17</v>
      </c>
      <c r="E53" s="75">
        <v>3.0277798804026951E-2</v>
      </c>
      <c r="F53" s="29">
        <v>2.7566077509323817E-2</v>
      </c>
      <c r="G53" s="83">
        <v>0.85</v>
      </c>
      <c r="K53" s="70"/>
      <c r="L53" s="18"/>
      <c r="N53" t="str">
        <f>B53</f>
        <v>Oil &amp; Gas</v>
      </c>
      <c r="O53" s="20">
        <f>SUMIFS(Committed_Emissions[Attributed_Emissions (MT CO2e)], Committed_Emissions[Sector], '01_Executive_Summary'!N53)</f>
        <v>28031177.547344681</v>
      </c>
      <c r="P53" s="20">
        <f>SUMIFS(Funded_Emissions[Attributed_Emissions (MT CO2e)], Funded_Emissions[Sector], '01_Executive_Summary'!N53)</f>
        <v>26343731.8837374</v>
      </c>
      <c r="Q53" s="44">
        <f t="shared" si="2"/>
        <v>1687445.6636072807</v>
      </c>
      <c r="R53" s="97">
        <f t="shared" si="3"/>
        <v>6.4054920960115766E-2</v>
      </c>
    </row>
    <row r="54" spans="2:18" ht="15" x14ac:dyDescent="0.25">
      <c r="B54" s="58" t="s">
        <v>30</v>
      </c>
      <c r="C54" s="64">
        <v>60</v>
      </c>
      <c r="D54" s="28">
        <v>50</v>
      </c>
      <c r="E54" s="75">
        <v>9.0833396412080852E-2</v>
      </c>
      <c r="F54" s="29">
        <v>8.1076698556834761E-2</v>
      </c>
      <c r="G54" s="83">
        <v>0.83333333333333337</v>
      </c>
      <c r="K54" s="70"/>
      <c r="L54" s="18"/>
      <c r="N54" t="str">
        <f>B54</f>
        <v>Power Generation</v>
      </c>
      <c r="O54" s="20">
        <f>SUMIFS(Committed_Emissions[Attributed_Emissions (MT CO2e)], Committed_Emissions[Sector], '01_Executive_Summary'!N54)</f>
        <v>88153328.223646417</v>
      </c>
      <c r="P54" s="20">
        <f>SUMIFS(Funded_Emissions[Attributed_Emissions (MT CO2e)], Funded_Emissions[Sector], '01_Executive_Summary'!N54)</f>
        <v>60554476.501230031</v>
      </c>
      <c r="Q54" s="44">
        <f t="shared" si="2"/>
        <v>27598851.722416386</v>
      </c>
      <c r="R54" s="97">
        <f t="shared" si="3"/>
        <v>0.45576897559102464</v>
      </c>
    </row>
    <row r="55" spans="2:18" ht="15" x14ac:dyDescent="0.25">
      <c r="B55" s="58" t="s">
        <v>34</v>
      </c>
      <c r="C55" s="64">
        <v>1.05</v>
      </c>
      <c r="D55" s="28">
        <v>0.55000000000000004</v>
      </c>
      <c r="E55" s="75">
        <v>1.5895844372114149E-3</v>
      </c>
      <c r="F55" s="29">
        <v>8.9184368412518241E-4</v>
      </c>
      <c r="G55" s="83">
        <v>0.52380952380952384</v>
      </c>
      <c r="K55" s="70"/>
      <c r="L55" s="18"/>
      <c r="N55" t="str">
        <f>B55</f>
        <v>Real Estate</v>
      </c>
      <c r="O55" s="20">
        <f>SUMIFS(Committed_Emissions[Attributed_Emissions (MT CO2e)], Committed_Emissions[Sector], '01_Executive_Summary'!N55)</f>
        <v>3883</v>
      </c>
      <c r="P55" s="20">
        <f>SUMIFS(Funded_Emissions[Attributed_Emissions (MT CO2e)], Funded_Emissions[Sector], '01_Executive_Summary'!N55)</f>
        <v>2210.7466666666669</v>
      </c>
      <c r="Q55" s="44">
        <f t="shared" si="2"/>
        <v>1672.2533333333331</v>
      </c>
      <c r="R55" s="97">
        <f t="shared" si="3"/>
        <v>0.75642015367357018</v>
      </c>
    </row>
    <row r="56" spans="2:18" ht="15" x14ac:dyDescent="0.25">
      <c r="B56" s="58" t="s">
        <v>6</v>
      </c>
      <c r="C56" s="64">
        <v>45</v>
      </c>
      <c r="D56" s="28">
        <v>35</v>
      </c>
      <c r="E56" s="75">
        <v>6.8125047309060632E-2</v>
      </c>
      <c r="F56" s="29">
        <v>5.6753688989784334E-2</v>
      </c>
      <c r="G56" s="83">
        <v>0.77777777777777779</v>
      </c>
      <c r="K56" s="70"/>
      <c r="L56" s="18"/>
      <c r="N56" t="str">
        <f>B56</f>
        <v>Renewables</v>
      </c>
      <c r="O56" s="20">
        <f>SUMIFS(Committed_Emissions[Attributed_Emissions (MT CO2e)], Committed_Emissions[Sector], '01_Executive_Summary'!N56)</f>
        <v>864688.57142857136</v>
      </c>
      <c r="P56" s="20">
        <f>SUMIFS(Funded_Emissions[Attributed_Emissions (MT CO2e)], Funded_Emissions[Sector], '01_Executive_Summary'!N56)</f>
        <v>655707.14285714284</v>
      </c>
      <c r="Q56" s="104">
        <f t="shared" si="2"/>
        <v>208981.42857142852</v>
      </c>
      <c r="R56" s="97">
        <f t="shared" si="3"/>
        <v>0.31871153280536818</v>
      </c>
    </row>
    <row r="57" spans="2:18" ht="15.75" thickBot="1" x14ac:dyDescent="0.3">
      <c r="B57" s="59" t="s">
        <v>3</v>
      </c>
      <c r="C57" s="64">
        <v>400</v>
      </c>
      <c r="D57" s="28">
        <v>400</v>
      </c>
      <c r="E57" s="75">
        <v>0.60555597608053902</v>
      </c>
      <c r="F57" s="29">
        <v>0.64861358845467809</v>
      </c>
      <c r="G57" s="83">
        <v>1</v>
      </c>
      <c r="K57" s="70"/>
      <c r="L57" s="18"/>
      <c r="N57" s="119" t="str">
        <f>B57</f>
        <v>Sovereigns</v>
      </c>
      <c r="O57" s="125">
        <f>SUMIFS(Committed_Emissions[Attributed_Emissions (MT CO2e)], Committed_Emissions[Sector], '01_Executive_Summary'!N57)</f>
        <v>33664994.979218714</v>
      </c>
      <c r="P57" s="125">
        <f>SUMIFS(Funded_Emissions[Attributed_Emissions (MT CO2e)], Funded_Emissions[Sector], '01_Executive_Summary'!N57)</f>
        <v>33664994.979218714</v>
      </c>
      <c r="Q57" s="126">
        <f t="shared" si="2"/>
        <v>0</v>
      </c>
      <c r="R57" s="120">
        <f t="shared" si="3"/>
        <v>0</v>
      </c>
    </row>
    <row r="58" spans="2:18" ht="15" x14ac:dyDescent="0.25">
      <c r="B58" s="60" t="s">
        <v>67</v>
      </c>
      <c r="C58" s="65">
        <v>660.55</v>
      </c>
      <c r="D58" s="30">
        <v>616.70000000000005</v>
      </c>
      <c r="E58" s="76">
        <v>1</v>
      </c>
      <c r="F58" s="31">
        <v>1</v>
      </c>
      <c r="G58" s="84">
        <v>0.93361592612217104</v>
      </c>
      <c r="K58" s="70"/>
      <c r="L58" s="18"/>
      <c r="N58" s="9" t="str">
        <f>B58</f>
        <v>Grand Total</v>
      </c>
      <c r="O58" s="21">
        <f>SUM(O48:O57)</f>
        <v>248481152.74482104</v>
      </c>
      <c r="P58" s="21">
        <f t="shared" ref="P58" si="4">SUM(P48:P57)</f>
        <v>205761456.98456991</v>
      </c>
      <c r="Q58" s="124">
        <f t="shared" si="2"/>
        <v>42719695.760251135</v>
      </c>
      <c r="R58" s="98">
        <f t="shared" si="3"/>
        <v>0.20761758001866545</v>
      </c>
    </row>
    <row r="59" spans="2:18" ht="20.100000000000001" customHeight="1" x14ac:dyDescent="0.25">
      <c r="K59" s="70"/>
      <c r="L59" s="18"/>
    </row>
    <row r="60" spans="2:18" ht="20.100000000000001" customHeight="1" x14ac:dyDescent="0.25">
      <c r="K60" s="70"/>
      <c r="L60" s="18"/>
    </row>
    <row r="61" spans="2:18" ht="20.100000000000001" customHeight="1" x14ac:dyDescent="0.25">
      <c r="K61" s="70"/>
      <c r="L61" s="18"/>
    </row>
    <row r="62" spans="2:18" ht="20.100000000000001" customHeight="1" x14ac:dyDescent="0.25">
      <c r="B62" s="81" t="s">
        <v>162</v>
      </c>
      <c r="C62" s="68"/>
      <c r="D62" s="68"/>
      <c r="E62" s="68"/>
      <c r="F62" s="68"/>
      <c r="G62" s="68"/>
      <c r="K62" s="70"/>
      <c r="L62" s="18"/>
      <c r="N62" s="81" t="s">
        <v>231</v>
      </c>
      <c r="O62" s="68"/>
      <c r="P62" s="68"/>
      <c r="Q62" s="68"/>
      <c r="R62" s="68"/>
    </row>
    <row r="63" spans="2:18" ht="20.100000000000001" customHeight="1" x14ac:dyDescent="0.25">
      <c r="K63" s="70"/>
      <c r="L63" s="18"/>
    </row>
    <row r="64" spans="2:18" ht="45" x14ac:dyDescent="0.25">
      <c r="B64" s="88" t="s">
        <v>200</v>
      </c>
      <c r="C64" s="88" t="s">
        <v>201</v>
      </c>
      <c r="D64" s="88" t="s">
        <v>203</v>
      </c>
      <c r="E64" s="96" t="s">
        <v>204</v>
      </c>
      <c r="F64" s="89" t="s">
        <v>205</v>
      </c>
      <c r="G64" s="80" t="s">
        <v>207</v>
      </c>
      <c r="K64" s="70"/>
      <c r="L64" s="18"/>
      <c r="N64" s="110" t="s">
        <v>65</v>
      </c>
      <c r="O64" s="130" t="s">
        <v>229</v>
      </c>
    </row>
    <row r="65" spans="2:20" ht="20.100000000000001" customHeight="1" x14ac:dyDescent="0.25">
      <c r="B65" s="25" t="s">
        <v>19</v>
      </c>
      <c r="C65" s="26">
        <v>104.5</v>
      </c>
      <c r="D65" s="26">
        <v>69.150000000000006</v>
      </c>
      <c r="E65" s="75">
        <v>0.15820149875104081</v>
      </c>
      <c r="F65" s="29">
        <v>0.11212907410410249</v>
      </c>
      <c r="G65" s="83">
        <v>0.6617224880382776</v>
      </c>
      <c r="K65" s="70"/>
      <c r="L65" s="18"/>
      <c r="N65" t="str">
        <f>N48</f>
        <v>Agriculture</v>
      </c>
      <c r="O65">
        <f>AVERAGEIF(Table5[Sector], N65, Table5[Data Quality Rank])</f>
        <v>4</v>
      </c>
    </row>
    <row r="66" spans="2:20" ht="20.100000000000001" customHeight="1" x14ac:dyDescent="0.25">
      <c r="B66" s="25" t="s">
        <v>40</v>
      </c>
      <c r="C66" s="26">
        <v>0.3</v>
      </c>
      <c r="D66" s="26">
        <v>0.2</v>
      </c>
      <c r="E66" s="75">
        <v>4.5416698206040423E-4</v>
      </c>
      <c r="F66" s="29">
        <v>3.2430679422733907E-4</v>
      </c>
      <c r="G66" s="83">
        <v>0.66666666666666674</v>
      </c>
      <c r="K66" s="70"/>
      <c r="L66" s="18"/>
      <c r="N66" t="str">
        <f t="shared" ref="N66:N74" si="5">N49</f>
        <v>Financials</v>
      </c>
      <c r="O66">
        <f>AVERAGEIF(Table5[Sector], N66, Table5[Data Quality Rank])</f>
        <v>1</v>
      </c>
    </row>
    <row r="67" spans="2:20" ht="20.100000000000001" customHeight="1" x14ac:dyDescent="0.25">
      <c r="B67" s="25" t="s">
        <v>17</v>
      </c>
      <c r="C67" s="26">
        <v>115</v>
      </c>
      <c r="D67" s="26">
        <v>115</v>
      </c>
      <c r="E67" s="75">
        <v>0.17409734312315495</v>
      </c>
      <c r="F67" s="29">
        <v>0.18647640668071994</v>
      </c>
      <c r="G67" s="83">
        <v>1</v>
      </c>
      <c r="K67" s="70"/>
      <c r="L67" s="18"/>
      <c r="N67" t="str">
        <f t="shared" si="5"/>
        <v>Healthcare</v>
      </c>
      <c r="O67">
        <f>AVERAGEIF(Table5[Sector], N67, Table5[Data Quality Rank])</f>
        <v>4</v>
      </c>
    </row>
    <row r="68" spans="2:20" ht="20.100000000000001" customHeight="1" x14ac:dyDescent="0.25">
      <c r="B68" s="25" t="s">
        <v>36</v>
      </c>
      <c r="C68" s="26">
        <v>0.75</v>
      </c>
      <c r="D68" s="26">
        <v>0.35</v>
      </c>
      <c r="E68" s="75">
        <v>1.1354174551510105E-3</v>
      </c>
      <c r="F68" s="29">
        <v>5.6753688989784324E-4</v>
      </c>
      <c r="G68" s="83">
        <v>0.46666666666666662</v>
      </c>
      <c r="K68" s="70"/>
      <c r="L68" s="18"/>
      <c r="N68" t="str">
        <f t="shared" si="5"/>
        <v>Industrials</v>
      </c>
      <c r="O68">
        <f>AVERAGEIF(Table5[Sector], N68, Table5[Data Quality Rank])</f>
        <v>1</v>
      </c>
    </row>
    <row r="69" spans="2:20" ht="20.100000000000001" customHeight="1" x14ac:dyDescent="0.25">
      <c r="B69" s="25" t="s">
        <v>2</v>
      </c>
      <c r="C69" s="26">
        <v>30</v>
      </c>
      <c r="D69" s="26">
        <v>25</v>
      </c>
      <c r="E69" s="75">
        <v>4.5416698206040426E-2</v>
      </c>
      <c r="F69" s="29">
        <v>4.0538349278417381E-2</v>
      </c>
      <c r="G69" s="83">
        <v>0.83333333333333337</v>
      </c>
      <c r="K69" s="70"/>
      <c r="L69" s="18"/>
      <c r="N69" t="str">
        <f t="shared" si="5"/>
        <v>IT</v>
      </c>
      <c r="O69">
        <f>AVERAGEIF(Table5[Sector], N69, Table5[Data Quality Rank])</f>
        <v>1</v>
      </c>
    </row>
    <row r="70" spans="2:20" ht="20.100000000000001" customHeight="1" x14ac:dyDescent="0.25">
      <c r="B70" s="25" t="s">
        <v>0</v>
      </c>
      <c r="C70" s="26">
        <v>300</v>
      </c>
      <c r="D70" s="26">
        <v>300</v>
      </c>
      <c r="E70" s="75">
        <v>0.45416698206040423</v>
      </c>
      <c r="F70" s="29">
        <v>0.48646019134100854</v>
      </c>
      <c r="G70" s="83">
        <v>1</v>
      </c>
      <c r="K70" s="70"/>
      <c r="L70" s="18"/>
      <c r="N70" t="str">
        <f t="shared" si="5"/>
        <v>Oil &amp; Gas</v>
      </c>
      <c r="O70">
        <f>AVERAGEIF(Table5[Sector], N70, Table5[Data Quality Rank])</f>
        <v>2.5</v>
      </c>
    </row>
    <row r="71" spans="2:20" ht="20.100000000000001" customHeight="1" x14ac:dyDescent="0.25">
      <c r="B71" s="25" t="s">
        <v>26</v>
      </c>
      <c r="C71" s="26">
        <v>10</v>
      </c>
      <c r="D71" s="26">
        <v>7</v>
      </c>
      <c r="E71" s="75">
        <v>1.5138899402013475E-2</v>
      </c>
      <c r="F71" s="29">
        <v>1.1350737797956867E-2</v>
      </c>
      <c r="G71" s="83">
        <v>0.7</v>
      </c>
      <c r="K71" s="70"/>
      <c r="L71" s="18"/>
      <c r="N71" t="str">
        <f t="shared" si="5"/>
        <v>Power Generation</v>
      </c>
      <c r="O71">
        <f>AVERAGEIF(Table5[Sector], N71, Table5[Data Quality Rank])</f>
        <v>1.5</v>
      </c>
    </row>
    <row r="72" spans="2:20" ht="20.100000000000001" customHeight="1" x14ac:dyDescent="0.25">
      <c r="B72" s="25" t="s">
        <v>95</v>
      </c>
      <c r="C72" s="26">
        <v>100</v>
      </c>
      <c r="D72" s="26">
        <v>100</v>
      </c>
      <c r="E72" s="75">
        <v>0.15138899402013475</v>
      </c>
      <c r="F72" s="29">
        <v>0.16215339711366952</v>
      </c>
      <c r="G72" s="83">
        <v>1</v>
      </c>
      <c r="K72" s="70"/>
      <c r="L72" s="18"/>
      <c r="N72" t="str">
        <f t="shared" si="5"/>
        <v>Real Estate</v>
      </c>
      <c r="O72">
        <f>AVERAGEIF(Table5[Sector], N72, Table5[Data Quality Rank])</f>
        <v>3</v>
      </c>
    </row>
    <row r="73" spans="2:20" ht="20.100000000000001" customHeight="1" x14ac:dyDescent="0.25">
      <c r="B73" s="25" t="s">
        <v>67</v>
      </c>
      <c r="C73" s="26">
        <v>660.55</v>
      </c>
      <c r="D73" s="26">
        <v>616.70000000000005</v>
      </c>
      <c r="E73" s="75">
        <v>1</v>
      </c>
      <c r="F73" s="29">
        <v>1</v>
      </c>
      <c r="G73" s="90">
        <v>0.93361592612217104</v>
      </c>
      <c r="K73" s="70"/>
      <c r="L73" s="18"/>
      <c r="N73" t="str">
        <f t="shared" si="5"/>
        <v>Renewables</v>
      </c>
      <c r="O73">
        <f>AVERAGEIF(Table5[Sector], N73, Table5[Data Quality Rank])</f>
        <v>3.6666666666666665</v>
      </c>
    </row>
    <row r="74" spans="2:20" ht="20.100000000000001" customHeight="1" thickBot="1" x14ac:dyDescent="0.3">
      <c r="K74" s="70"/>
      <c r="L74" s="18"/>
      <c r="N74" s="119" t="str">
        <f t="shared" si="5"/>
        <v>Sovereigns</v>
      </c>
      <c r="O74" s="119">
        <f>AVERAGEIF(Table5[Sector], N74, Table5[Data Quality Rank])</f>
        <v>1</v>
      </c>
    </row>
    <row r="75" spans="2:20" ht="20.100000000000001" customHeight="1" x14ac:dyDescent="0.25">
      <c r="K75" s="70"/>
      <c r="L75" s="18"/>
      <c r="N75" t="s">
        <v>230</v>
      </c>
      <c r="O75">
        <f>AVERAGE(O65:O74)</f>
        <v>2.2666666666666666</v>
      </c>
    </row>
    <row r="76" spans="2:20" ht="20.100000000000001" customHeight="1" x14ac:dyDescent="0.25">
      <c r="K76" s="70"/>
      <c r="L76" s="18"/>
    </row>
    <row r="77" spans="2:20" ht="20.100000000000001" customHeight="1" x14ac:dyDescent="0.25">
      <c r="K77" s="70"/>
      <c r="L77" s="18"/>
    </row>
    <row r="78" spans="2:20" ht="20.100000000000001" customHeight="1" x14ac:dyDescent="0.25">
      <c r="K78" s="70"/>
      <c r="L78" s="18"/>
    </row>
    <row r="79" spans="2:20" ht="20.100000000000001" customHeight="1" x14ac:dyDescent="0.25">
      <c r="K79" s="70"/>
      <c r="L79" s="18"/>
      <c r="N79" s="113" t="s">
        <v>232</v>
      </c>
      <c r="O79" s="113"/>
      <c r="P79" s="113"/>
      <c r="Q79" s="113"/>
      <c r="R79" s="113"/>
      <c r="S79" s="113"/>
      <c r="T79" s="113"/>
    </row>
    <row r="80" spans="2:20" ht="20.100000000000001" customHeight="1" x14ac:dyDescent="0.25">
      <c r="K80" s="70"/>
      <c r="L80" s="18"/>
    </row>
    <row r="81" spans="11:20" ht="45" x14ac:dyDescent="0.25">
      <c r="K81" s="70"/>
      <c r="N81" s="110" t="s">
        <v>1</v>
      </c>
      <c r="O81" s="114" t="s">
        <v>202</v>
      </c>
      <c r="P81" s="115" t="s">
        <v>203</v>
      </c>
      <c r="Q81" s="110" t="s">
        <v>233</v>
      </c>
      <c r="R81" s="110" t="s">
        <v>234</v>
      </c>
      <c r="S81" s="110" t="s">
        <v>235</v>
      </c>
      <c r="T81" s="131" t="s">
        <v>237</v>
      </c>
    </row>
    <row r="82" spans="11:20" ht="20.100000000000001" customHeight="1" x14ac:dyDescent="0.25">
      <c r="K82" s="70"/>
      <c r="N82" t="str">
        <f>B48</f>
        <v>Agriculture</v>
      </c>
      <c r="O82">
        <f>GETPIVOTDATA("Total Committments ($B)",$B$47,"Sector",N82)</f>
        <v>25</v>
      </c>
      <c r="P82">
        <f>GETPIVOTDATA("Funded Exposure ($B)",$B$47,"Sector",N82)</f>
        <v>22</v>
      </c>
      <c r="Q82" s="97">
        <f>P82/P92</f>
        <v>3.5673747365007294E-2</v>
      </c>
      <c r="R82" s="44">
        <f>SUMIFS(Funded_Emissions[Attributed_Emissions (MT CO2e)], Funded_Emissions[Sector], '01_Executive_Summary'!N48)</f>
        <v>45454336.724137932</v>
      </c>
      <c r="S82" s="111">
        <f>R82/(P82*1000)</f>
        <v>2066.1062147335424</v>
      </c>
      <c r="T82" s="112">
        <f>Q82*S82</f>
        <v>73.705751133675903</v>
      </c>
    </row>
    <row r="83" spans="11:20" ht="20.100000000000001" customHeight="1" x14ac:dyDescent="0.25">
      <c r="K83" s="70"/>
      <c r="N83" t="str">
        <f t="shared" ref="N83:N91" si="6">B49</f>
        <v>Financials</v>
      </c>
      <c r="O83">
        <f t="shared" ref="O83:O91" si="7">GETPIVOTDATA("Total Committments ($B)",$B$47,"Sector",N83)</f>
        <v>35</v>
      </c>
      <c r="P83">
        <f>GETPIVOTDATA("Funded Exposure ($B)",$B$47,"Sector",N83)</f>
        <v>25</v>
      </c>
      <c r="Q83" s="97">
        <f>P83/P92</f>
        <v>4.0538349278417381E-2</v>
      </c>
      <c r="R83" s="44">
        <f>SUMIFS(Funded_Emissions[Attributed_Emissions (MT CO2e)], Funded_Emissions[Sector], '01_Executive_Summary'!N49)</f>
        <v>63849.50594161715</v>
      </c>
      <c r="S83" s="111">
        <f t="shared" ref="S83:S91" si="8">R83/(P83*1000)</f>
        <v>2.5539802376646858</v>
      </c>
      <c r="T83" s="112">
        <f t="shared" ref="T83:T91" si="9">Q83*S83</f>
        <v>0.10353414292462647</v>
      </c>
    </row>
    <row r="84" spans="11:20" ht="20.100000000000001" customHeight="1" x14ac:dyDescent="0.25">
      <c r="K84" s="70"/>
      <c r="N84" t="str">
        <f t="shared" si="6"/>
        <v>Healthcare</v>
      </c>
      <c r="O84">
        <f t="shared" si="7"/>
        <v>4.5</v>
      </c>
      <c r="P84">
        <f>GETPIVOTDATA("Funded Exposure ($B)",$B$47,"Sector",N84)</f>
        <v>2.15</v>
      </c>
      <c r="Q84" s="97">
        <f>P84/P92</f>
        <v>3.4862980379438946E-3</v>
      </c>
      <c r="R84" s="44">
        <f>SUMIFS(Funded_Emissions[Attributed_Emissions (MT CO2e)], Funded_Emissions[Sector], '01_Executive_Summary'!N50)</f>
        <v>39354.666437230466</v>
      </c>
      <c r="S84" s="111">
        <f t="shared" si="8"/>
        <v>18.304496017316495</v>
      </c>
      <c r="T84" s="112">
        <f t="shared" si="9"/>
        <v>6.3814928550722336E-2</v>
      </c>
    </row>
    <row r="85" spans="11:20" ht="20.100000000000001" customHeight="1" x14ac:dyDescent="0.25">
      <c r="K85" s="70"/>
      <c r="N85" t="str">
        <f t="shared" si="6"/>
        <v>Industrials</v>
      </c>
      <c r="O85">
        <f t="shared" si="7"/>
        <v>20</v>
      </c>
      <c r="P85">
        <f>GETPIVOTDATA("Funded Exposure ($B)",$B$47,"Sector",N85)</f>
        <v>15</v>
      </c>
      <c r="Q85" s="97">
        <f>P85/P92</f>
        <v>2.4323009567050427E-2</v>
      </c>
      <c r="R85" s="44">
        <f>SUMIFS(Funded_Emissions[Attributed_Emissions (MT CO2e)], Funded_Emissions[Sector], '01_Executive_Summary'!N51)</f>
        <v>38773505.472916074</v>
      </c>
      <c r="S85" s="111">
        <f t="shared" si="8"/>
        <v>2584.9003648610715</v>
      </c>
      <c r="T85" s="112">
        <f t="shared" si="9"/>
        <v>62.872556304387977</v>
      </c>
    </row>
    <row r="86" spans="11:20" ht="20.100000000000001" customHeight="1" x14ac:dyDescent="0.25">
      <c r="K86" s="70"/>
      <c r="N86" t="str">
        <f t="shared" si="6"/>
        <v>IT</v>
      </c>
      <c r="O86">
        <f t="shared" si="7"/>
        <v>50</v>
      </c>
      <c r="P86">
        <f>GETPIVOTDATA("Funded Exposure ($B)",$B$47,"Sector",N86)</f>
        <v>50</v>
      </c>
      <c r="Q86" s="97">
        <f>P86/P92</f>
        <v>8.1076698556834761E-2</v>
      </c>
      <c r="R86" s="44">
        <f>SUMIFS(Funded_Emissions[Attributed_Emissions (MT CO2e)], Funded_Emissions[Sector], '01_Executive_Summary'!N52)</f>
        <v>209289.36142709409</v>
      </c>
      <c r="S86" s="111">
        <f t="shared" si="8"/>
        <v>4.1857872285418818</v>
      </c>
      <c r="T86" s="112">
        <f t="shared" si="9"/>
        <v>0.33936980935153899</v>
      </c>
    </row>
    <row r="87" spans="11:20" ht="20.100000000000001" customHeight="1" x14ac:dyDescent="0.25">
      <c r="K87" s="70"/>
      <c r="N87" t="str">
        <f t="shared" si="6"/>
        <v>Oil &amp; Gas</v>
      </c>
      <c r="O87">
        <f t="shared" si="7"/>
        <v>20</v>
      </c>
      <c r="P87">
        <f>GETPIVOTDATA("Funded Exposure ($B)",$B$47,"Sector",N87)</f>
        <v>17</v>
      </c>
      <c r="Q87" s="97">
        <f>P87/P92</f>
        <v>2.7566077509323817E-2</v>
      </c>
      <c r="R87" s="44">
        <f>SUMIFS(Funded_Emissions[Attributed_Emissions (MT CO2e)], Funded_Emissions[Sector], '01_Executive_Summary'!N53)</f>
        <v>26343731.8837374</v>
      </c>
      <c r="S87" s="111">
        <f t="shared" si="8"/>
        <v>1549.6312872786707</v>
      </c>
      <c r="T87" s="112">
        <f t="shared" si="9"/>
        <v>42.717256175997079</v>
      </c>
    </row>
    <row r="88" spans="11:20" ht="20.100000000000001" customHeight="1" x14ac:dyDescent="0.25">
      <c r="N88" t="str">
        <f t="shared" si="6"/>
        <v>Power Generation</v>
      </c>
      <c r="O88">
        <f t="shared" si="7"/>
        <v>60</v>
      </c>
      <c r="P88">
        <f>GETPIVOTDATA("Funded Exposure ($B)",$B$47,"Sector",N88)</f>
        <v>50</v>
      </c>
      <c r="Q88" s="97">
        <f>P88/P92</f>
        <v>8.1076698556834761E-2</v>
      </c>
      <c r="R88" s="44">
        <f>SUMIFS(Funded_Emissions[Attributed_Emissions (MT CO2e)], Funded_Emissions[Sector], '01_Executive_Summary'!N54)</f>
        <v>60554476.501230031</v>
      </c>
      <c r="S88" s="111">
        <f t="shared" si="8"/>
        <v>1211.0895300246007</v>
      </c>
      <c r="T88" s="112">
        <f t="shared" si="9"/>
        <v>98.191140751143223</v>
      </c>
    </row>
    <row r="89" spans="11:20" ht="20.100000000000001" customHeight="1" x14ac:dyDescent="0.25">
      <c r="N89" t="str">
        <f t="shared" si="6"/>
        <v>Real Estate</v>
      </c>
      <c r="O89">
        <f t="shared" si="7"/>
        <v>1.05</v>
      </c>
      <c r="P89">
        <f>GETPIVOTDATA("Funded Exposure ($B)",$B$47,"Sector",N89)</f>
        <v>0.55000000000000004</v>
      </c>
      <c r="Q89" s="97">
        <f>P89/P92</f>
        <v>8.9184368412518241E-4</v>
      </c>
      <c r="R89" s="44">
        <f>SUMIFS(Funded_Emissions[Attributed_Emissions (MT CO2e)], Funded_Emissions[Sector], '01_Executive_Summary'!N55)</f>
        <v>2210.7466666666669</v>
      </c>
      <c r="S89" s="111">
        <f t="shared" si="8"/>
        <v>4.019539393939394</v>
      </c>
      <c r="T89" s="112">
        <f t="shared" si="9"/>
        <v>3.584800821577212E-3</v>
      </c>
    </row>
    <row r="90" spans="11:20" ht="20.100000000000001" customHeight="1" x14ac:dyDescent="0.25">
      <c r="N90" t="str">
        <f t="shared" si="6"/>
        <v>Renewables</v>
      </c>
      <c r="O90">
        <f t="shared" si="7"/>
        <v>45</v>
      </c>
      <c r="P90">
        <f>GETPIVOTDATA("Funded Exposure ($B)",$B$47,"Sector",N90)</f>
        <v>35</v>
      </c>
      <c r="Q90" s="97">
        <f>P90/P92</f>
        <v>5.6753688989784334E-2</v>
      </c>
      <c r="R90" s="44">
        <f>SUMIFS(Funded_Emissions[Attributed_Emissions (MT CO2e)], Funded_Emissions[Sector], '01_Executive_Summary'!N56)</f>
        <v>655707.14285714284</v>
      </c>
      <c r="S90" s="111">
        <f t="shared" si="8"/>
        <v>18.734489795918368</v>
      </c>
      <c r="T90" s="112">
        <f t="shared" si="9"/>
        <v>1.0632514072598391</v>
      </c>
    </row>
    <row r="91" spans="11:20" ht="20.100000000000001" customHeight="1" thickBot="1" x14ac:dyDescent="0.3">
      <c r="N91" s="119" t="str">
        <f t="shared" si="6"/>
        <v>Sovereigns</v>
      </c>
      <c r="O91" s="119">
        <f t="shared" si="7"/>
        <v>400</v>
      </c>
      <c r="P91" s="119">
        <f>GETPIVOTDATA("Funded Exposure ($B)",$B$47,"Sector",N91)</f>
        <v>400</v>
      </c>
      <c r="Q91" s="120">
        <f>P91/P92</f>
        <v>0.64861358845467809</v>
      </c>
      <c r="R91" s="121">
        <f>SUMIFS(Funded_Emissions[Attributed_Emissions (MT CO2e)], Funded_Emissions[Sector], '01_Executive_Summary'!N57)</f>
        <v>33664994.979218714</v>
      </c>
      <c r="S91" s="122">
        <f t="shared" si="8"/>
        <v>84.162487448046789</v>
      </c>
      <c r="T91" s="123">
        <f t="shared" si="9"/>
        <v>54.588932996949431</v>
      </c>
    </row>
    <row r="92" spans="11:20" ht="20.100000000000001" customHeight="1" x14ac:dyDescent="0.25">
      <c r="N92" s="116" t="s">
        <v>136</v>
      </c>
      <c r="O92" s="116"/>
      <c r="P92" s="116">
        <f>SUM(P82:P91)</f>
        <v>616.70000000000005</v>
      </c>
      <c r="Q92" s="117">
        <f>SUM(Q82:Q91)</f>
        <v>1</v>
      </c>
      <c r="R92" s="116"/>
      <c r="S92" s="116"/>
      <c r="T92" s="118">
        <f>SUM(T82:T91)</f>
        <v>333.64919245106188</v>
      </c>
    </row>
  </sheetData>
  <mergeCells count="15">
    <mergeCell ref="B8:C10"/>
    <mergeCell ref="D8:D10"/>
    <mergeCell ref="G8:H10"/>
    <mergeCell ref="I8:I10"/>
    <mergeCell ref="Q8:S10"/>
    <mergeCell ref="L8:M10"/>
    <mergeCell ref="N8:N10"/>
    <mergeCell ref="N16:T17"/>
    <mergeCell ref="G6:I7"/>
    <mergeCell ref="L6:N7"/>
    <mergeCell ref="B16:K17"/>
    <mergeCell ref="B6:D7"/>
    <mergeCell ref="Q6:S7"/>
    <mergeCell ref="B1:S2"/>
    <mergeCell ref="B3:S3"/>
  </mergeCells>
  <conditionalFormatting pivot="1" sqref="G48:G57">
    <cfRule type="dataBar" priority="5">
      <dataBar>
        <cfvo type="min"/>
        <cfvo type="max"/>
        <color theme="2" tint="-0.499984740745262"/>
      </dataBar>
      <extLst>
        <ext xmlns:x14="http://schemas.microsoft.com/office/spreadsheetml/2009/9/main" uri="{B025F937-C7B1-47D3-B67F-A62EFF666E3E}">
          <x14:id>{0677CEF9-374E-4DD1-8851-E75A263900E9}</x14:id>
        </ext>
      </extLst>
    </cfRule>
  </conditionalFormatting>
  <conditionalFormatting pivot="1" sqref="G48:G57">
    <cfRule type="dataBar" priority="3">
      <dataBar>
        <cfvo type="min"/>
        <cfvo type="max"/>
        <color rgb="FF638EC6"/>
      </dataBar>
      <extLst>
        <ext xmlns:x14="http://schemas.microsoft.com/office/spreadsheetml/2009/9/main" uri="{B025F937-C7B1-47D3-B67F-A62EFF666E3E}">
          <x14:id>{C95724B9-DDB4-4D14-8628-7526A3BB81BB}</x14:id>
        </ext>
      </extLst>
    </cfRule>
  </conditionalFormatting>
  <conditionalFormatting pivot="1" sqref="G65:G71">
    <cfRule type="dataBar" priority="2">
      <dataBar>
        <cfvo type="min"/>
        <cfvo type="max"/>
        <color rgb="FF638EC6"/>
      </dataBar>
      <extLst>
        <ext xmlns:x14="http://schemas.microsoft.com/office/spreadsheetml/2009/9/main" uri="{B025F937-C7B1-47D3-B67F-A62EFF666E3E}">
          <x14:id>{CB3B1B30-B7ED-43AC-A966-D5870C67240C}</x14:id>
        </ext>
      </extLst>
    </cfRule>
  </conditionalFormatting>
  <conditionalFormatting pivot="1" sqref="G72">
    <cfRule type="dataBar" priority="1">
      <dataBar>
        <cfvo type="min"/>
        <cfvo type="max"/>
        <color rgb="FF638EC6"/>
      </dataBar>
      <extLst>
        <ext xmlns:x14="http://schemas.microsoft.com/office/spreadsheetml/2009/9/main" uri="{B025F937-C7B1-47D3-B67F-A62EFF666E3E}">
          <x14:id>{D4E2ADAD-34D0-4DBC-BF9F-CAD5FF410FB6}</x14:id>
        </ext>
      </extLst>
    </cfRule>
  </conditionalFormatting>
  <pageMargins left="0.7" right="0.7" top="0.75" bottom="0.75" header="0.3" footer="0.3"/>
  <pageSetup orientation="portrait" r:id="rId4"/>
  <tableParts count="4">
    <tablePart r:id="rId5"/>
    <tablePart r:id="rId6"/>
    <tablePart r:id="rId7"/>
    <tablePart r:id="rId8"/>
  </tableParts>
  <extLst>
    <ext xmlns:x14="http://schemas.microsoft.com/office/spreadsheetml/2009/9/main" uri="{78C0D931-6437-407d-A8EE-F0AAD7539E65}">
      <x14:conditionalFormattings>
        <x14:conditionalFormatting xmlns:xm="http://schemas.microsoft.com/office/excel/2006/main" pivot="1">
          <x14:cfRule type="dataBar" id="{0677CEF9-374E-4DD1-8851-E75A263900E9}">
            <x14:dataBar minLength="0" maxLength="100" gradient="0">
              <x14:cfvo type="autoMin"/>
              <x14:cfvo type="autoMax"/>
              <x14:negativeFillColor rgb="FFFF0000"/>
              <x14:axisColor rgb="FF000000"/>
            </x14:dataBar>
          </x14:cfRule>
          <xm:sqref>G48:G57</xm:sqref>
        </x14:conditionalFormatting>
        <x14:conditionalFormatting xmlns:xm="http://schemas.microsoft.com/office/excel/2006/main" pivot="1">
          <x14:cfRule type="dataBar" id="{C95724B9-DDB4-4D14-8628-7526A3BB81BB}">
            <x14:dataBar minLength="0" maxLength="100" gradient="0">
              <x14:cfvo type="autoMin"/>
              <x14:cfvo type="autoMax"/>
              <x14:negativeFillColor rgb="FFFF0000"/>
              <x14:axisColor rgb="FF000000"/>
            </x14:dataBar>
          </x14:cfRule>
          <xm:sqref>G48:G57</xm:sqref>
        </x14:conditionalFormatting>
        <x14:conditionalFormatting xmlns:xm="http://schemas.microsoft.com/office/excel/2006/main" pivot="1">
          <x14:cfRule type="dataBar" id="{CB3B1B30-B7ED-43AC-A966-D5870C67240C}">
            <x14:dataBar minLength="0" maxLength="100" gradient="0">
              <x14:cfvo type="autoMin"/>
              <x14:cfvo type="autoMax"/>
              <x14:negativeFillColor rgb="FFFF0000"/>
              <x14:axisColor rgb="FF000000"/>
            </x14:dataBar>
          </x14:cfRule>
          <xm:sqref>G65:G71</xm:sqref>
        </x14:conditionalFormatting>
        <x14:conditionalFormatting xmlns:xm="http://schemas.microsoft.com/office/excel/2006/main" pivot="1">
          <x14:cfRule type="dataBar" id="{D4E2ADAD-34D0-4DBC-BF9F-CAD5FF410FB6}">
            <x14:dataBar minLength="0" maxLength="100" gradient="0">
              <x14:cfvo type="autoMin"/>
              <x14:cfvo type="autoMax"/>
              <x14:negativeFillColor rgb="FFFF0000"/>
              <x14:axisColor rgb="FF000000"/>
            </x14:dataBar>
          </x14:cfRule>
          <xm:sqref>G72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14FFC-7A47-4A88-B2A6-13C05607E558}">
  <dimension ref="A2:B41"/>
  <sheetViews>
    <sheetView workbookViewId="0">
      <selection activeCell="G23" sqref="G23"/>
    </sheetView>
  </sheetViews>
  <sheetFormatPr defaultRowHeight="15" x14ac:dyDescent="0.25"/>
  <cols>
    <col min="1" max="1" width="19.7109375" customWidth="1"/>
    <col min="5" max="5" width="16.7109375" customWidth="1"/>
    <col min="8" max="8" width="10" customWidth="1"/>
  </cols>
  <sheetData>
    <row r="2" spans="1:2" ht="15.75" x14ac:dyDescent="0.25">
      <c r="A2" s="12" t="s">
        <v>169</v>
      </c>
    </row>
    <row r="3" spans="1:2" ht="15.75" thickBot="1" x14ac:dyDescent="0.3">
      <c r="A3" s="132" t="s">
        <v>9</v>
      </c>
      <c r="B3" s="132" t="s">
        <v>56</v>
      </c>
    </row>
    <row r="4" spans="1:2" ht="15.75" thickBot="1" x14ac:dyDescent="0.3">
      <c r="A4" s="11" t="s">
        <v>0</v>
      </c>
      <c r="B4" s="10" t="s">
        <v>57</v>
      </c>
    </row>
    <row r="5" spans="1:2" ht="15.75" thickBot="1" x14ac:dyDescent="0.3">
      <c r="A5" s="11" t="s">
        <v>17</v>
      </c>
      <c r="B5" s="5" t="s">
        <v>49</v>
      </c>
    </row>
    <row r="6" spans="1:2" ht="15.75" thickBot="1" x14ac:dyDescent="0.3">
      <c r="A6" s="11" t="s">
        <v>19</v>
      </c>
      <c r="B6" s="5" t="s">
        <v>61</v>
      </c>
    </row>
    <row r="7" spans="1:2" ht="15.75" thickBot="1" x14ac:dyDescent="0.3">
      <c r="A7" s="11" t="s">
        <v>2</v>
      </c>
      <c r="B7" s="5" t="s">
        <v>58</v>
      </c>
    </row>
    <row r="8" spans="1:2" ht="15.75" thickBot="1" x14ac:dyDescent="0.3">
      <c r="A8" s="6" t="s">
        <v>26</v>
      </c>
      <c r="B8" s="5" t="s">
        <v>59</v>
      </c>
    </row>
    <row r="9" spans="1:2" ht="15.75" thickBot="1" x14ac:dyDescent="0.3">
      <c r="A9" s="6" t="s">
        <v>40</v>
      </c>
      <c r="B9" s="5" t="s">
        <v>60</v>
      </c>
    </row>
    <row r="10" spans="1:2" ht="15.75" thickBot="1" x14ac:dyDescent="0.3">
      <c r="A10" s="6" t="s">
        <v>36</v>
      </c>
      <c r="B10" s="6" t="s">
        <v>63</v>
      </c>
    </row>
    <row r="11" spans="1:2" x14ac:dyDescent="0.25">
      <c r="A11" s="6" t="s">
        <v>95</v>
      </c>
      <c r="B11" s="6" t="s">
        <v>96</v>
      </c>
    </row>
    <row r="14" spans="1:2" ht="15.75" x14ac:dyDescent="0.25">
      <c r="A14" s="12" t="s">
        <v>171</v>
      </c>
    </row>
    <row r="15" spans="1:2" x14ac:dyDescent="0.25">
      <c r="A15" s="110" t="s">
        <v>11</v>
      </c>
    </row>
    <row r="16" spans="1:2" x14ac:dyDescent="0.25">
      <c r="A16" t="s">
        <v>13</v>
      </c>
    </row>
    <row r="17" spans="1:1" x14ac:dyDescent="0.25">
      <c r="A17" t="s">
        <v>41</v>
      </c>
    </row>
    <row r="21" spans="1:1" ht="15.75" x14ac:dyDescent="0.25">
      <c r="A21" s="12" t="s">
        <v>170</v>
      </c>
    </row>
    <row r="22" spans="1:1" ht="15.75" thickBot="1" x14ac:dyDescent="0.3">
      <c r="A22" s="110" t="s">
        <v>65</v>
      </c>
    </row>
    <row r="23" spans="1:1" ht="15.75" thickBot="1" x14ac:dyDescent="0.3">
      <c r="A23" s="3" t="s">
        <v>37</v>
      </c>
    </row>
    <row r="24" spans="1:1" ht="15.75" thickBot="1" x14ac:dyDescent="0.3">
      <c r="A24" s="3" t="s">
        <v>4</v>
      </c>
    </row>
    <row r="25" spans="1:1" ht="15.75" thickBot="1" x14ac:dyDescent="0.3">
      <c r="A25" s="3" t="s">
        <v>29</v>
      </c>
    </row>
    <row r="26" spans="1:1" ht="15.75" thickBot="1" x14ac:dyDescent="0.3">
      <c r="A26" s="3" t="s">
        <v>5</v>
      </c>
    </row>
    <row r="27" spans="1:1" ht="15.75" thickBot="1" x14ac:dyDescent="0.3">
      <c r="A27" s="3" t="s">
        <v>28</v>
      </c>
    </row>
    <row r="28" spans="1:1" ht="15.75" thickBot="1" x14ac:dyDescent="0.3">
      <c r="A28" s="3" t="s">
        <v>64</v>
      </c>
    </row>
    <row r="29" spans="1:1" ht="15.75" thickBot="1" x14ac:dyDescent="0.3">
      <c r="A29" s="3" t="s">
        <v>30</v>
      </c>
    </row>
    <row r="30" spans="1:1" ht="15.75" thickBot="1" x14ac:dyDescent="0.3">
      <c r="A30" s="3" t="s">
        <v>34</v>
      </c>
    </row>
    <row r="31" spans="1:1" ht="15.75" thickBot="1" x14ac:dyDescent="0.3">
      <c r="A31" s="3" t="s">
        <v>6</v>
      </c>
    </row>
    <row r="32" spans="1:1" x14ac:dyDescent="0.25">
      <c r="A32" s="8" t="s">
        <v>3</v>
      </c>
    </row>
    <row r="35" spans="1:1" x14ac:dyDescent="0.25">
      <c r="A35" t="s">
        <v>172</v>
      </c>
    </row>
    <row r="36" spans="1:1" x14ac:dyDescent="0.25">
      <c r="A36" s="110" t="s">
        <v>71</v>
      </c>
    </row>
    <row r="37" spans="1:1" x14ac:dyDescent="0.25">
      <c r="A37" s="42" t="s">
        <v>75</v>
      </c>
    </row>
    <row r="38" spans="1:1" x14ac:dyDescent="0.25">
      <c r="A38" s="42" t="s">
        <v>72</v>
      </c>
    </row>
    <row r="39" spans="1:1" x14ac:dyDescent="0.25">
      <c r="A39" s="42" t="s">
        <v>74</v>
      </c>
    </row>
    <row r="40" spans="1:1" x14ac:dyDescent="0.25">
      <c r="A40" s="42" t="s">
        <v>73</v>
      </c>
    </row>
    <row r="41" spans="1:1" x14ac:dyDescent="0.25">
      <c r="A41" s="43" t="s">
        <v>112</v>
      </c>
    </row>
  </sheetData>
  <pageMargins left="0.7" right="0.7" top="0.75" bottom="0.75" header="0.3" footer="0.3"/>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300BA-3852-4631-B0E9-636E872C3BBF}">
  <dimension ref="A1:G21"/>
  <sheetViews>
    <sheetView workbookViewId="0">
      <selection activeCell="C29" sqref="C29"/>
    </sheetView>
  </sheetViews>
  <sheetFormatPr defaultRowHeight="15" x14ac:dyDescent="0.25"/>
  <cols>
    <col min="1" max="1" width="36.42578125" bestFit="1" customWidth="1"/>
    <col min="2" max="2" width="25.85546875" bestFit="1" customWidth="1"/>
    <col min="3" max="3" width="24.28515625" bestFit="1" customWidth="1"/>
    <col min="4" max="4" width="18" bestFit="1" customWidth="1"/>
    <col min="5" max="5" width="25" customWidth="1"/>
    <col min="6" max="6" width="20.28515625" customWidth="1"/>
    <col min="7" max="7" width="19.7109375" customWidth="1"/>
  </cols>
  <sheetData>
    <row r="1" spans="1:7" x14ac:dyDescent="0.25">
      <c r="A1" t="s">
        <v>165</v>
      </c>
    </row>
    <row r="3" spans="1:7" ht="15.75" thickBot="1" x14ac:dyDescent="0.3">
      <c r="A3" s="133" t="s">
        <v>8</v>
      </c>
      <c r="B3" s="133" t="s">
        <v>70</v>
      </c>
      <c r="C3" s="133" t="s">
        <v>9</v>
      </c>
      <c r="D3" s="133" t="s">
        <v>1</v>
      </c>
      <c r="E3" s="133" t="s">
        <v>10</v>
      </c>
      <c r="F3" s="133" t="s">
        <v>7</v>
      </c>
      <c r="G3" s="134" t="s">
        <v>11</v>
      </c>
    </row>
    <row r="4" spans="1:7" ht="15.75" thickBot="1" x14ac:dyDescent="0.3">
      <c r="A4" s="3" t="s">
        <v>53</v>
      </c>
      <c r="B4" s="3" t="s">
        <v>31</v>
      </c>
      <c r="C4" s="3" t="s">
        <v>17</v>
      </c>
      <c r="D4" s="3" t="s">
        <v>30</v>
      </c>
      <c r="E4" s="33">
        <v>35</v>
      </c>
      <c r="F4" s="33">
        <v>35</v>
      </c>
      <c r="G4" s="7" t="s">
        <v>13</v>
      </c>
    </row>
    <row r="5" spans="1:7" ht="15.75" thickBot="1" x14ac:dyDescent="0.3">
      <c r="A5" s="3" t="s">
        <v>50</v>
      </c>
      <c r="B5" s="3" t="s">
        <v>16</v>
      </c>
      <c r="C5" s="3" t="s">
        <v>17</v>
      </c>
      <c r="D5" s="3" t="s">
        <v>28</v>
      </c>
      <c r="E5" s="33">
        <v>50</v>
      </c>
      <c r="F5" s="33">
        <v>50</v>
      </c>
      <c r="G5" s="7" t="s">
        <v>13</v>
      </c>
    </row>
    <row r="6" spans="1:7" ht="15.75" thickBot="1" x14ac:dyDescent="0.3">
      <c r="A6" s="3" t="s">
        <v>51</v>
      </c>
      <c r="B6" s="3" t="s">
        <v>22</v>
      </c>
      <c r="C6" s="3" t="s">
        <v>17</v>
      </c>
      <c r="D6" s="3" t="s">
        <v>64</v>
      </c>
      <c r="E6" s="33">
        <v>10</v>
      </c>
      <c r="F6" s="33">
        <v>10</v>
      </c>
      <c r="G6" s="7" t="s">
        <v>13</v>
      </c>
    </row>
    <row r="7" spans="1:7" ht="15.75" thickBot="1" x14ac:dyDescent="0.3">
      <c r="A7" s="3" t="s">
        <v>52</v>
      </c>
      <c r="B7" s="3" t="s">
        <v>38</v>
      </c>
      <c r="C7" s="3" t="s">
        <v>17</v>
      </c>
      <c r="D7" s="3" t="s">
        <v>37</v>
      </c>
      <c r="E7" s="33">
        <v>20</v>
      </c>
      <c r="F7" s="33">
        <v>20</v>
      </c>
      <c r="G7" s="7" t="s">
        <v>13</v>
      </c>
    </row>
    <row r="8" spans="1:7" ht="15.75" thickBot="1" x14ac:dyDescent="0.3">
      <c r="A8" s="3" t="s">
        <v>120</v>
      </c>
      <c r="B8" s="3" t="s">
        <v>119</v>
      </c>
      <c r="C8" s="3" t="s">
        <v>40</v>
      </c>
      <c r="D8" s="3" t="s">
        <v>34</v>
      </c>
      <c r="E8" s="33">
        <v>0.3</v>
      </c>
      <c r="F8" s="33">
        <v>0.2</v>
      </c>
      <c r="G8" s="7" t="s">
        <v>13</v>
      </c>
    </row>
    <row r="9" spans="1:7" ht="15.75" thickBot="1" x14ac:dyDescent="0.3">
      <c r="A9" s="3" t="s">
        <v>92</v>
      </c>
      <c r="B9" s="3" t="s">
        <v>32</v>
      </c>
      <c r="C9" s="3" t="s">
        <v>19</v>
      </c>
      <c r="D9" s="3" t="s">
        <v>30</v>
      </c>
      <c r="E9" s="33">
        <v>25</v>
      </c>
      <c r="F9" s="33">
        <v>15</v>
      </c>
      <c r="G9" s="7" t="s">
        <v>13</v>
      </c>
    </row>
    <row r="10" spans="1:7" ht="15.75" thickBot="1" x14ac:dyDescent="0.3">
      <c r="A10" s="3" t="s">
        <v>43</v>
      </c>
      <c r="B10" s="3" t="s">
        <v>18</v>
      </c>
      <c r="C10" s="3" t="s">
        <v>19</v>
      </c>
      <c r="D10" s="3" t="s">
        <v>29</v>
      </c>
      <c r="E10" s="33">
        <v>4.5</v>
      </c>
      <c r="F10" s="33">
        <v>2.15</v>
      </c>
      <c r="G10" s="7" t="s">
        <v>13</v>
      </c>
    </row>
    <row r="11" spans="1:7" ht="15.75" thickBot="1" x14ac:dyDescent="0.3">
      <c r="A11" s="3" t="s">
        <v>47</v>
      </c>
      <c r="B11" s="3" t="s">
        <v>23</v>
      </c>
      <c r="C11" s="3" t="s">
        <v>19</v>
      </c>
      <c r="D11" s="3" t="s">
        <v>64</v>
      </c>
      <c r="E11" s="33">
        <v>10</v>
      </c>
      <c r="F11" s="33">
        <v>7</v>
      </c>
      <c r="G11" s="7" t="s">
        <v>13</v>
      </c>
    </row>
    <row r="12" spans="1:7" ht="15.75" thickBot="1" x14ac:dyDescent="0.3">
      <c r="A12" s="3" t="s">
        <v>48</v>
      </c>
      <c r="B12" s="3" t="s">
        <v>27</v>
      </c>
      <c r="C12" s="3" t="s">
        <v>19</v>
      </c>
      <c r="D12" s="3" t="s">
        <v>6</v>
      </c>
      <c r="E12" s="33">
        <v>5</v>
      </c>
      <c r="F12" s="33">
        <v>3</v>
      </c>
      <c r="G12" s="7" t="s">
        <v>13</v>
      </c>
    </row>
    <row r="13" spans="1:7" ht="15.75" thickBot="1" x14ac:dyDescent="0.3">
      <c r="A13" s="3" t="s">
        <v>44</v>
      </c>
      <c r="B13" s="3" t="s">
        <v>39</v>
      </c>
      <c r="C13" s="3" t="s">
        <v>19</v>
      </c>
      <c r="D13" s="3" t="s">
        <v>37</v>
      </c>
      <c r="E13" s="33">
        <v>5</v>
      </c>
      <c r="F13" s="33">
        <v>2</v>
      </c>
      <c r="G13" s="7" t="s">
        <v>13</v>
      </c>
    </row>
    <row r="14" spans="1:7" ht="15.75" thickBot="1" x14ac:dyDescent="0.3">
      <c r="A14" s="3" t="s">
        <v>45</v>
      </c>
      <c r="B14" s="3" t="s">
        <v>20</v>
      </c>
      <c r="C14" s="3" t="s">
        <v>19</v>
      </c>
      <c r="D14" s="3" t="s">
        <v>4</v>
      </c>
      <c r="E14" s="33">
        <v>35</v>
      </c>
      <c r="F14" s="33">
        <v>25</v>
      </c>
      <c r="G14" s="7" t="s">
        <v>13</v>
      </c>
    </row>
    <row r="15" spans="1:7" ht="15.75" thickBot="1" x14ac:dyDescent="0.3">
      <c r="A15" s="3" t="s">
        <v>46</v>
      </c>
      <c r="B15" s="3" t="s">
        <v>21</v>
      </c>
      <c r="C15" s="3" t="s">
        <v>19</v>
      </c>
      <c r="D15" s="3" t="s">
        <v>5</v>
      </c>
      <c r="E15" s="33">
        <v>20</v>
      </c>
      <c r="F15" s="33">
        <v>15</v>
      </c>
      <c r="G15" s="7" t="s">
        <v>13</v>
      </c>
    </row>
    <row r="16" spans="1:7" ht="15.75" thickBot="1" x14ac:dyDescent="0.3">
      <c r="A16" s="3" t="s">
        <v>62</v>
      </c>
      <c r="B16" s="3" t="s">
        <v>35</v>
      </c>
      <c r="C16" s="3" t="s">
        <v>36</v>
      </c>
      <c r="D16" s="3" t="s">
        <v>34</v>
      </c>
      <c r="E16" s="33">
        <v>0.75</v>
      </c>
      <c r="F16" s="33">
        <v>0.35</v>
      </c>
      <c r="G16" s="7" t="s">
        <v>13</v>
      </c>
    </row>
    <row r="17" spans="1:7" ht="15.75" thickBot="1" x14ac:dyDescent="0.3">
      <c r="A17" s="3" t="s">
        <v>54</v>
      </c>
      <c r="B17" s="3" t="s">
        <v>24</v>
      </c>
      <c r="C17" s="3" t="s">
        <v>2</v>
      </c>
      <c r="D17" s="3" t="s">
        <v>6</v>
      </c>
      <c r="E17" s="33">
        <v>30</v>
      </c>
      <c r="F17" s="33">
        <v>25</v>
      </c>
      <c r="G17" s="7" t="s">
        <v>13</v>
      </c>
    </row>
    <row r="18" spans="1:7" ht="15.75" thickBot="1" x14ac:dyDescent="0.3">
      <c r="A18" s="3" t="s">
        <v>42</v>
      </c>
      <c r="B18" s="3" t="s">
        <v>12</v>
      </c>
      <c r="C18" s="3" t="s">
        <v>0</v>
      </c>
      <c r="D18" s="3" t="s">
        <v>3</v>
      </c>
      <c r="E18" s="33">
        <v>300</v>
      </c>
      <c r="F18" s="33">
        <v>300</v>
      </c>
      <c r="G18" s="7" t="s">
        <v>13</v>
      </c>
    </row>
    <row r="19" spans="1:7" ht="15.75" thickBot="1" x14ac:dyDescent="0.3">
      <c r="A19" s="8" t="s">
        <v>97</v>
      </c>
      <c r="B19" s="8" t="s">
        <v>15</v>
      </c>
      <c r="C19" s="8" t="s">
        <v>95</v>
      </c>
      <c r="D19" s="8" t="s">
        <v>3</v>
      </c>
      <c r="E19" s="34">
        <v>30</v>
      </c>
      <c r="F19" s="34">
        <v>30</v>
      </c>
      <c r="G19" s="7" t="s">
        <v>13</v>
      </c>
    </row>
    <row r="20" spans="1:7" ht="15.75" thickBot="1" x14ac:dyDescent="0.3">
      <c r="A20" s="3" t="s">
        <v>98</v>
      </c>
      <c r="B20" s="3" t="s">
        <v>14</v>
      </c>
      <c r="C20" s="3" t="s">
        <v>95</v>
      </c>
      <c r="D20" s="3" t="s">
        <v>3</v>
      </c>
      <c r="E20" s="33">
        <v>70</v>
      </c>
      <c r="F20" s="33">
        <v>70</v>
      </c>
      <c r="G20" s="7" t="s">
        <v>13</v>
      </c>
    </row>
    <row r="21" spans="1:7" ht="15.75" thickBot="1" x14ac:dyDescent="0.3">
      <c r="A21" s="3" t="s">
        <v>55</v>
      </c>
      <c r="B21" s="3" t="s">
        <v>25</v>
      </c>
      <c r="C21" s="3" t="s">
        <v>26</v>
      </c>
      <c r="D21" s="3" t="s">
        <v>6</v>
      </c>
      <c r="E21" s="33">
        <v>10</v>
      </c>
      <c r="F21" s="33">
        <v>7</v>
      </c>
      <c r="G21" s="7" t="s">
        <v>13</v>
      </c>
    </row>
  </sheetData>
  <dataValidations count="3">
    <dataValidation type="list" allowBlank="1" showInputMessage="1" showErrorMessage="1" sqref="G4:G21" xr:uid="{5C52F344-FF25-4EEB-BB88-DD7B77BCAB9D}">
      <formula1>INDIRECT("Status[Financial_Status]")</formula1>
    </dataValidation>
    <dataValidation type="list" allowBlank="1" showInputMessage="1" showErrorMessage="1" sqref="D4:D21" xr:uid="{6760D827-8448-4813-ACCC-D3F4E8F00C0B}">
      <formula1>INDIRECT("Sectors[Sectors]")</formula1>
    </dataValidation>
    <dataValidation type="list" allowBlank="1" showInputMessage="1" showErrorMessage="1" sqref="C4:C21" xr:uid="{7D61D3E6-6E4D-4DE4-9F73-1AAB0490E9F7}">
      <formula1>INDIRECT("Asset_Class[Asset_Class]")</formula1>
    </dataValidation>
  </dataValidation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DEB67-FD7D-4F94-A30E-5C9CA81629A4}">
  <dimension ref="A1:R22"/>
  <sheetViews>
    <sheetView workbookViewId="0">
      <selection activeCell="G35" sqref="G35"/>
    </sheetView>
  </sheetViews>
  <sheetFormatPr defaultRowHeight="15" x14ac:dyDescent="0.25"/>
  <cols>
    <col min="1" max="1" width="25.140625" customWidth="1"/>
    <col min="2" max="4" width="22.42578125" customWidth="1"/>
    <col min="5" max="5" width="22.28515625" customWidth="1"/>
    <col min="6" max="6" width="35.28515625" bestFit="1" customWidth="1"/>
    <col min="7" max="7" width="27.5703125" customWidth="1"/>
    <col min="8" max="8" width="35.7109375" bestFit="1" customWidth="1"/>
    <col min="9" max="9" width="32.85546875" bestFit="1" customWidth="1"/>
    <col min="10" max="11" width="32.85546875" customWidth="1"/>
    <col min="12" max="12" width="42.5703125" customWidth="1"/>
  </cols>
  <sheetData>
    <row r="1" spans="1:18" x14ac:dyDescent="0.25">
      <c r="A1" t="s">
        <v>168</v>
      </c>
    </row>
    <row r="3" spans="1:18" x14ac:dyDescent="0.25">
      <c r="A3" s="135" t="s">
        <v>8</v>
      </c>
      <c r="B3" s="136" t="s">
        <v>70</v>
      </c>
      <c r="C3" s="137" t="s">
        <v>9</v>
      </c>
      <c r="D3" s="137" t="s">
        <v>1</v>
      </c>
      <c r="E3" s="136" t="s">
        <v>71</v>
      </c>
      <c r="F3" s="137" t="s">
        <v>167</v>
      </c>
      <c r="G3" s="137" t="s">
        <v>79</v>
      </c>
      <c r="H3" s="137" t="s">
        <v>166</v>
      </c>
      <c r="I3" s="138" t="s">
        <v>80</v>
      </c>
      <c r="J3" s="138" t="s">
        <v>122</v>
      </c>
      <c r="K3" s="138" t="s">
        <v>123</v>
      </c>
      <c r="L3" s="138" t="s">
        <v>76</v>
      </c>
      <c r="R3" t="s">
        <v>78</v>
      </c>
    </row>
    <row r="4" spans="1:18" x14ac:dyDescent="0.25">
      <c r="A4" s="139" t="s">
        <v>55</v>
      </c>
      <c r="B4" s="140" t="s">
        <v>25</v>
      </c>
      <c r="C4" s="140" t="s">
        <v>26</v>
      </c>
      <c r="D4" s="140" t="s">
        <v>6</v>
      </c>
      <c r="E4" s="141" t="s">
        <v>75</v>
      </c>
      <c r="F4" s="147">
        <v>15</v>
      </c>
      <c r="G4" s="140" t="s">
        <v>33</v>
      </c>
      <c r="H4" s="149">
        <v>315000</v>
      </c>
      <c r="I4" s="142" t="s">
        <v>114</v>
      </c>
      <c r="J4" s="162">
        <v>4</v>
      </c>
      <c r="K4" s="142" t="s">
        <v>145</v>
      </c>
      <c r="L4" s="140" t="s">
        <v>138</v>
      </c>
    </row>
    <row r="5" spans="1:18" x14ac:dyDescent="0.25">
      <c r="A5" s="139" t="s">
        <v>98</v>
      </c>
      <c r="B5" s="140" t="s">
        <v>14</v>
      </c>
      <c r="C5" s="140" t="s">
        <v>95</v>
      </c>
      <c r="D5" s="140" t="s">
        <v>3</v>
      </c>
      <c r="E5" s="141" t="s">
        <v>72</v>
      </c>
      <c r="F5" s="147">
        <v>4296</v>
      </c>
      <c r="G5" s="143" t="s">
        <v>83</v>
      </c>
      <c r="H5" s="150">
        <v>360400000</v>
      </c>
      <c r="I5" s="142" t="s">
        <v>84</v>
      </c>
      <c r="J5" s="162">
        <v>1</v>
      </c>
      <c r="K5" s="142" t="s">
        <v>139</v>
      </c>
      <c r="L5" s="140" t="s">
        <v>86</v>
      </c>
    </row>
    <row r="6" spans="1:18" x14ac:dyDescent="0.25">
      <c r="A6" s="139" t="s">
        <v>97</v>
      </c>
      <c r="B6" s="140" t="s">
        <v>15</v>
      </c>
      <c r="C6" s="140" t="s">
        <v>95</v>
      </c>
      <c r="D6" s="140" t="s">
        <v>3</v>
      </c>
      <c r="E6" s="141" t="s">
        <v>72</v>
      </c>
      <c r="F6" s="147">
        <v>1178</v>
      </c>
      <c r="G6" s="140" t="s">
        <v>89</v>
      </c>
      <c r="H6" s="150">
        <v>24560000</v>
      </c>
      <c r="I6" s="142" t="s">
        <v>91</v>
      </c>
      <c r="J6" s="162">
        <v>1</v>
      </c>
      <c r="K6" s="142" t="s">
        <v>139</v>
      </c>
      <c r="L6" s="140" t="s">
        <v>90</v>
      </c>
    </row>
    <row r="7" spans="1:18" x14ac:dyDescent="0.25">
      <c r="A7" s="139" t="s">
        <v>42</v>
      </c>
      <c r="B7" s="140" t="s">
        <v>12</v>
      </c>
      <c r="C7" s="140" t="s">
        <v>0</v>
      </c>
      <c r="D7" s="140" t="s">
        <v>3</v>
      </c>
      <c r="E7" s="141" t="s">
        <v>72</v>
      </c>
      <c r="F7" s="147">
        <v>6320</v>
      </c>
      <c r="G7" s="143" t="s">
        <v>87</v>
      </c>
      <c r="H7" s="149">
        <v>572320000</v>
      </c>
      <c r="I7" s="142" t="s">
        <v>85</v>
      </c>
      <c r="J7" s="162">
        <v>1</v>
      </c>
      <c r="K7" s="142" t="s">
        <v>139</v>
      </c>
      <c r="L7" s="140" t="s">
        <v>88</v>
      </c>
    </row>
    <row r="8" spans="1:18" x14ac:dyDescent="0.25">
      <c r="A8" s="139" t="s">
        <v>54</v>
      </c>
      <c r="B8" s="140" t="s">
        <v>24</v>
      </c>
      <c r="C8" s="140" t="s">
        <v>2</v>
      </c>
      <c r="D8" s="140" t="s">
        <v>6</v>
      </c>
      <c r="E8" s="141" t="s">
        <v>75</v>
      </c>
      <c r="F8" s="147">
        <v>35</v>
      </c>
      <c r="G8" s="140" t="s">
        <v>33</v>
      </c>
      <c r="H8" s="149">
        <v>579470</v>
      </c>
      <c r="I8" s="142" t="s">
        <v>114</v>
      </c>
      <c r="J8" s="162">
        <v>4</v>
      </c>
      <c r="K8" s="142" t="s">
        <v>145</v>
      </c>
      <c r="L8" s="140" t="s">
        <v>138</v>
      </c>
    </row>
    <row r="9" spans="1:18" x14ac:dyDescent="0.25">
      <c r="A9" s="139" t="s">
        <v>62</v>
      </c>
      <c r="B9" s="140" t="s">
        <v>35</v>
      </c>
      <c r="C9" s="140" t="s">
        <v>36</v>
      </c>
      <c r="D9" s="140" t="s">
        <v>34</v>
      </c>
      <c r="E9" s="141" t="s">
        <v>74</v>
      </c>
      <c r="F9" s="147">
        <v>1.875</v>
      </c>
      <c r="G9" s="140" t="s">
        <v>33</v>
      </c>
      <c r="H9" s="149">
        <v>4724</v>
      </c>
      <c r="I9" s="142" t="s">
        <v>114</v>
      </c>
      <c r="J9" s="162">
        <v>4</v>
      </c>
      <c r="K9" s="142" t="s">
        <v>144</v>
      </c>
      <c r="L9" s="140" t="s">
        <v>121</v>
      </c>
    </row>
    <row r="10" spans="1:18" x14ac:dyDescent="0.25">
      <c r="A10" s="139" t="s">
        <v>46</v>
      </c>
      <c r="B10" s="140" t="s">
        <v>21</v>
      </c>
      <c r="C10" s="140" t="s">
        <v>19</v>
      </c>
      <c r="D10" s="140" t="s">
        <v>5</v>
      </c>
      <c r="E10" s="141" t="s">
        <v>73</v>
      </c>
      <c r="F10" s="147">
        <v>35.630000000000003</v>
      </c>
      <c r="G10" s="140" t="s">
        <v>117</v>
      </c>
      <c r="H10" s="149">
        <v>92100000</v>
      </c>
      <c r="I10" s="142" t="s">
        <v>118</v>
      </c>
      <c r="J10" s="162">
        <v>1</v>
      </c>
      <c r="K10" s="142" t="s">
        <v>139</v>
      </c>
      <c r="L10" s="140" t="s">
        <v>77</v>
      </c>
    </row>
    <row r="11" spans="1:18" x14ac:dyDescent="0.25">
      <c r="A11" s="139" t="s">
        <v>45</v>
      </c>
      <c r="B11" s="140" t="s">
        <v>20</v>
      </c>
      <c r="C11" s="140" t="s">
        <v>19</v>
      </c>
      <c r="D11" s="140" t="s">
        <v>4</v>
      </c>
      <c r="E11" s="141" t="s">
        <v>73</v>
      </c>
      <c r="F11" s="148">
        <v>232.26</v>
      </c>
      <c r="G11" s="144" t="s">
        <v>115</v>
      </c>
      <c r="H11" s="149">
        <v>593187.44999999995</v>
      </c>
      <c r="I11" s="142" t="s">
        <v>116</v>
      </c>
      <c r="J11" s="162">
        <v>1</v>
      </c>
      <c r="K11" s="142" t="s">
        <v>139</v>
      </c>
      <c r="L11" s="140" t="s">
        <v>77</v>
      </c>
    </row>
    <row r="12" spans="1:18" x14ac:dyDescent="0.25">
      <c r="A12" s="139" t="s">
        <v>44</v>
      </c>
      <c r="B12" s="140" t="s">
        <v>39</v>
      </c>
      <c r="C12" s="140" t="s">
        <v>19</v>
      </c>
      <c r="D12" s="140" t="s">
        <v>37</v>
      </c>
      <c r="E12" s="141" t="s">
        <v>112</v>
      </c>
      <c r="F12" s="147">
        <v>16</v>
      </c>
      <c r="G12" s="140" t="s">
        <v>33</v>
      </c>
      <c r="H12" s="149">
        <f>VLOOKUP(A12, '06_Technical_Appendix'!$A:$H, 8, FALSE)</f>
        <v>1224999.9999999998</v>
      </c>
      <c r="I12" s="142" t="s">
        <v>33</v>
      </c>
      <c r="J12" s="162">
        <v>4</v>
      </c>
      <c r="K12" s="142" t="s">
        <v>142</v>
      </c>
      <c r="L12" s="140" t="s">
        <v>111</v>
      </c>
    </row>
    <row r="13" spans="1:18" x14ac:dyDescent="0.25">
      <c r="A13" s="139" t="s">
        <v>48</v>
      </c>
      <c r="B13" s="140" t="s">
        <v>27</v>
      </c>
      <c r="C13" s="140" t="s">
        <v>19</v>
      </c>
      <c r="D13" s="140" t="s">
        <v>6</v>
      </c>
      <c r="E13" s="141" t="s">
        <v>112</v>
      </c>
      <c r="F13" s="148">
        <v>15</v>
      </c>
      <c r="G13" s="144" t="s">
        <v>33</v>
      </c>
      <c r="H13" s="149">
        <v>474000</v>
      </c>
      <c r="I13" s="142" t="s">
        <v>33</v>
      </c>
      <c r="J13" s="162">
        <v>3</v>
      </c>
      <c r="K13" s="142" t="s">
        <v>143</v>
      </c>
      <c r="L13" s="140" t="s">
        <v>111</v>
      </c>
    </row>
    <row r="14" spans="1:18" x14ac:dyDescent="0.25">
      <c r="A14" s="139" t="s">
        <v>47</v>
      </c>
      <c r="B14" s="140" t="s">
        <v>23</v>
      </c>
      <c r="C14" s="140" t="s">
        <v>19</v>
      </c>
      <c r="D14" s="140" t="s">
        <v>64</v>
      </c>
      <c r="E14" s="141" t="s">
        <v>112</v>
      </c>
      <c r="F14" s="147">
        <v>19.067</v>
      </c>
      <c r="G14" s="145" t="s">
        <v>108</v>
      </c>
      <c r="H14" s="150">
        <f>VLOOKUP(A14, '06_Technical_Appendix'!$A:$H, 8, FALSE)</f>
        <v>10724842.155999999</v>
      </c>
      <c r="I14" s="142" t="s">
        <v>114</v>
      </c>
      <c r="J14" s="162">
        <v>4</v>
      </c>
      <c r="K14" s="142" t="s">
        <v>142</v>
      </c>
      <c r="L14" s="140" t="s">
        <v>111</v>
      </c>
    </row>
    <row r="15" spans="1:18" x14ac:dyDescent="0.25">
      <c r="A15" s="139" t="s">
        <v>43</v>
      </c>
      <c r="B15" s="140" t="s">
        <v>18</v>
      </c>
      <c r="C15" s="140" t="s">
        <v>19</v>
      </c>
      <c r="D15" s="140" t="s">
        <v>29</v>
      </c>
      <c r="E15" s="141" t="s">
        <v>73</v>
      </c>
      <c r="F15" s="147">
        <v>12.67</v>
      </c>
      <c r="G15" s="140" t="s">
        <v>93</v>
      </c>
      <c r="H15" s="150">
        <f>VLOOKUP(A15, '06_Technical_Appendix'!$A:$H, 8, FALSE)</f>
        <v>231917.96453940001</v>
      </c>
      <c r="I15" s="142" t="s">
        <v>114</v>
      </c>
      <c r="J15" s="162">
        <v>4</v>
      </c>
      <c r="K15" s="142" t="s">
        <v>142</v>
      </c>
      <c r="L15" s="140" t="s">
        <v>94</v>
      </c>
    </row>
    <row r="16" spans="1:18" x14ac:dyDescent="0.25">
      <c r="A16" s="139" t="s">
        <v>92</v>
      </c>
      <c r="B16" s="140" t="s">
        <v>32</v>
      </c>
      <c r="C16" s="140" t="s">
        <v>19</v>
      </c>
      <c r="D16" s="140" t="s">
        <v>30</v>
      </c>
      <c r="E16" s="141" t="s">
        <v>73</v>
      </c>
      <c r="F16" s="147">
        <v>40.06</v>
      </c>
      <c r="G16" s="140" t="s">
        <v>93</v>
      </c>
      <c r="H16" s="149">
        <v>110561000</v>
      </c>
      <c r="I16" s="142" t="s">
        <v>99</v>
      </c>
      <c r="J16" s="162">
        <v>2</v>
      </c>
      <c r="K16" s="142" t="s">
        <v>141</v>
      </c>
      <c r="L16" s="140" t="s">
        <v>94</v>
      </c>
    </row>
    <row r="17" spans="1:12" x14ac:dyDescent="0.25">
      <c r="A17" s="139" t="s">
        <v>120</v>
      </c>
      <c r="B17" s="140" t="s">
        <v>119</v>
      </c>
      <c r="C17" s="140" t="s">
        <v>40</v>
      </c>
      <c r="D17" s="140" t="s">
        <v>34</v>
      </c>
      <c r="E17" s="141" t="s">
        <v>74</v>
      </c>
      <c r="F17" s="147">
        <v>1.5</v>
      </c>
      <c r="G17" s="140" t="s">
        <v>33</v>
      </c>
      <c r="H17" s="149">
        <v>9967</v>
      </c>
      <c r="I17" s="142" t="s">
        <v>33</v>
      </c>
      <c r="J17" s="162">
        <v>2</v>
      </c>
      <c r="K17" s="142" t="s">
        <v>140</v>
      </c>
      <c r="L17" s="140" t="s">
        <v>121</v>
      </c>
    </row>
    <row r="18" spans="1:12" x14ac:dyDescent="0.25">
      <c r="A18" s="139" t="s">
        <v>52</v>
      </c>
      <c r="B18" s="140" t="s">
        <v>38</v>
      </c>
      <c r="C18" s="140" t="s">
        <v>17</v>
      </c>
      <c r="D18" s="140" t="s">
        <v>37</v>
      </c>
      <c r="E18" s="141" t="s">
        <v>73</v>
      </c>
      <c r="F18" s="147">
        <v>29</v>
      </c>
      <c r="G18" s="140" t="s">
        <v>126</v>
      </c>
      <c r="H18" s="149">
        <f>'06_Technical_Appendix'!I17</f>
        <v>65686757</v>
      </c>
      <c r="I18" s="142" t="s">
        <v>114</v>
      </c>
      <c r="J18" s="162">
        <v>4</v>
      </c>
      <c r="K18" s="142" t="s">
        <v>145</v>
      </c>
      <c r="L18" s="140" t="s">
        <v>77</v>
      </c>
    </row>
    <row r="19" spans="1:12" x14ac:dyDescent="0.25">
      <c r="A19" s="139" t="s">
        <v>51</v>
      </c>
      <c r="B19" s="140" t="s">
        <v>22</v>
      </c>
      <c r="C19" s="140" t="s">
        <v>17</v>
      </c>
      <c r="D19" s="140" t="s">
        <v>64</v>
      </c>
      <c r="E19" s="141" t="s">
        <v>73</v>
      </c>
      <c r="F19" s="147">
        <v>201.3</v>
      </c>
      <c r="G19" s="140" t="s">
        <v>124</v>
      </c>
      <c r="H19" s="149">
        <v>451040000</v>
      </c>
      <c r="I19" s="142" t="s">
        <v>125</v>
      </c>
      <c r="J19" s="162">
        <v>1</v>
      </c>
      <c r="K19" s="142" t="s">
        <v>139</v>
      </c>
      <c r="L19" s="140" t="s">
        <v>77</v>
      </c>
    </row>
    <row r="20" spans="1:12" x14ac:dyDescent="0.25">
      <c r="A20" s="139" t="s">
        <v>50</v>
      </c>
      <c r="B20" s="140" t="s">
        <v>16</v>
      </c>
      <c r="C20" s="140" t="s">
        <v>17</v>
      </c>
      <c r="D20" s="140" t="s">
        <v>28</v>
      </c>
      <c r="E20" s="141" t="s">
        <v>73</v>
      </c>
      <c r="F20" s="148">
        <v>3713.28</v>
      </c>
      <c r="G20" s="146" t="s">
        <v>106</v>
      </c>
      <c r="H20" s="149">
        <v>15543000</v>
      </c>
      <c r="I20" s="142" t="s">
        <v>107</v>
      </c>
      <c r="J20" s="162">
        <v>1</v>
      </c>
      <c r="K20" s="142" t="s">
        <v>139</v>
      </c>
      <c r="L20" s="140" t="s">
        <v>77</v>
      </c>
    </row>
    <row r="21" spans="1:12" x14ac:dyDescent="0.25">
      <c r="A21" s="139" t="s">
        <v>53</v>
      </c>
      <c r="B21" s="140" t="s">
        <v>31</v>
      </c>
      <c r="C21" s="140" t="s">
        <v>17</v>
      </c>
      <c r="D21" s="140" t="s">
        <v>30</v>
      </c>
      <c r="E21" s="141" t="s">
        <v>73</v>
      </c>
      <c r="F21" s="147">
        <v>181.08</v>
      </c>
      <c r="G21" s="140" t="s">
        <v>81</v>
      </c>
      <c r="H21" s="149">
        <v>99108700</v>
      </c>
      <c r="I21" s="142" t="s">
        <v>82</v>
      </c>
      <c r="J21" s="162">
        <v>1</v>
      </c>
      <c r="K21" s="142" t="s">
        <v>139</v>
      </c>
      <c r="L21" s="140" t="s">
        <v>77</v>
      </c>
    </row>
    <row r="22" spans="1:12" x14ac:dyDescent="0.25">
      <c r="A22" s="151" t="s">
        <v>136</v>
      </c>
      <c r="B22" s="152"/>
      <c r="C22" s="153"/>
      <c r="D22" s="153"/>
      <c r="E22" s="154"/>
      <c r="F22" s="155">
        <f>SUM(Table5[Entity_Denominator_Value ($B)])</f>
        <v>16342.721999999998</v>
      </c>
      <c r="G22" s="156"/>
      <c r="H22" s="157">
        <f>SUM(Table5[Entity_GHG_Emissions (tCO2e)])</f>
        <v>1805477565.5705395</v>
      </c>
      <c r="I22" s="158"/>
      <c r="J22" s="159">
        <f>SUBTOTAL(101,Table5[Data Quality Rank])</f>
        <v>2.3888888888888888</v>
      </c>
      <c r="K22" s="160"/>
      <c r="L22" s="161"/>
    </row>
  </sheetData>
  <phoneticPr fontId="9" type="noConversion"/>
  <dataValidations count="3">
    <dataValidation type="list" allowBlank="1" showInputMessage="1" showErrorMessage="1" sqref="D4:D21" xr:uid="{D378411A-EB26-4E1A-94BF-52E04554D659}">
      <formula1>INDIRECT("Sectors[Sectors]")</formula1>
    </dataValidation>
    <dataValidation type="list" allowBlank="1" showInputMessage="1" showErrorMessage="1" sqref="C4:C21" xr:uid="{A6C76597-5DC5-4E48-BFD1-0E63DD678E85}">
      <formula1>INDIRECT("Asset_Class[Asset_Class]")</formula1>
    </dataValidation>
    <dataValidation type="list" allowBlank="1" showInputMessage="1" showErrorMessage="1" sqref="E4:E21" xr:uid="{CAB4EF44-A029-4858-B82F-0E8A96F1B083}">
      <formula1>INDIRECT("Denominator_Type[Denominator_Type]")</formula1>
    </dataValidation>
  </dataValidations>
  <hyperlinks>
    <hyperlink ref="G5" r:id="rId1" location="eyJhcHBpZCI6OTksInN0ZXBzIjpbMSwyOSwyNSwyNiwyNyw0MF0sImRhdGEiOltbIlRhYmxlSWQiLCI1MzIiXSxbIk1ham9yQXJlYUtleSIsIjAiXSxbIkxpbmUiLCIzIl0sWyJTdGF0ZSIsIjAiXSxbIlVuaXRfb2ZfTWVhc3VyZSIsIkxldmVscyJdLFsiTWFwQ29sb3IiLCJCRUFTdGFuZGFyZCJdLFsiblJhbmdlIiwiNSJdLFsiWWVhciIsIjIwMjU6UTMiXSxbIlllYXJCZWdpbiIsIi0xIl0sWyJZZWFyRW5kIiwiLTEiXV19" display="https://apps.bea.gov/itable/?ReqID=99&amp;step=1#eyJhcHBpZCI6OTksInN0ZXBzIjpbMSwyOSwyNSwyNiwyNyw0MF0sImRhdGEiOltbIlRhYmxlSWQiLCI1MzIiXSxbIk1ham9yQXJlYUtleSIsIjAiXSxbIkxpbmUiLCIzIl0sWyJTdGF0ZSIsIjAiXSxbIlVuaXRfb2ZfTWVhc3VyZSIsIkxldmVscyJdLFsiTWFwQ29sb3IiLCJCRUFTdGFuZGFyZCJdLFsiblJhbmdlIiwiNSJdLFsiWWVhciIsIjIwMjU6UTMiXSxbIlllYXJCZWdpbiIsIi0xIl0sWyJZZWFyRW5kIiwiLTEiXV19" xr:uid="{ABE3E23E-44D0-4238-BC1B-6BCCC9D5A351}"/>
    <hyperlink ref="G7" r:id="rId2" xr:uid="{20FA041C-9558-46AB-8266-850F5470C8E5}"/>
    <hyperlink ref="G20" r:id="rId3" xr:uid="{D680A826-EAAD-4C16-A320-AF0BC2C6055B}"/>
    <hyperlink ref="G14" r:id="rId4" location="consolidatedbalancesheets" xr:uid="{DBEDB8D8-CEC2-4C46-B225-D5EA373D9D86}"/>
  </hyperlinks>
  <pageMargins left="0.7" right="0.7" top="0.75" bottom="0.75" header="0.3" footer="0.3"/>
  <pageSetup orientation="portrait" r:id="rId5"/>
  <tableParts count="1">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2C4F9-BA1E-4FC2-9D0D-796C9C1C02D2}">
  <dimension ref="A1:L49"/>
  <sheetViews>
    <sheetView workbookViewId="0">
      <selection activeCell="G26" sqref="G26"/>
    </sheetView>
  </sheetViews>
  <sheetFormatPr defaultRowHeight="15" x14ac:dyDescent="0.25"/>
  <cols>
    <col min="1" max="1" width="23.42578125" bestFit="1" customWidth="1"/>
    <col min="2" max="2" width="25.85546875" bestFit="1" customWidth="1"/>
    <col min="3" max="3" width="24.28515625" bestFit="1" customWidth="1"/>
    <col min="4" max="4" width="18" bestFit="1" customWidth="1"/>
    <col min="5" max="5" width="28.42578125" customWidth="1"/>
    <col min="6" max="6" width="29" customWidth="1"/>
    <col min="7" max="7" width="23.140625" customWidth="1"/>
    <col min="8" max="8" width="32" bestFit="1" customWidth="1"/>
    <col min="9" max="9" width="34.7109375" customWidth="1"/>
    <col min="10" max="10" width="13.28515625" bestFit="1" customWidth="1"/>
    <col min="11" max="11" width="16.42578125" bestFit="1" customWidth="1"/>
    <col min="12" max="12" width="27.5703125" bestFit="1" customWidth="1"/>
  </cols>
  <sheetData>
    <row r="1" spans="1:12" x14ac:dyDescent="0.25">
      <c r="A1" s="9" t="s">
        <v>163</v>
      </c>
    </row>
    <row r="3" spans="1:12" ht="15.75" thickBot="1" x14ac:dyDescent="0.3">
      <c r="A3" s="180" t="s">
        <v>156</v>
      </c>
      <c r="B3" s="180"/>
      <c r="C3" s="180"/>
      <c r="D3" s="180"/>
      <c r="E3" s="181" t="s">
        <v>157</v>
      </c>
      <c r="F3" s="181"/>
      <c r="G3" s="181"/>
      <c r="H3" s="181" t="s">
        <v>155</v>
      </c>
      <c r="I3" s="181"/>
      <c r="J3" s="181" t="s">
        <v>146</v>
      </c>
      <c r="K3" s="181"/>
      <c r="L3" s="181"/>
    </row>
    <row r="4" spans="1:12" x14ac:dyDescent="0.25">
      <c r="A4" s="182" t="s">
        <v>8</v>
      </c>
      <c r="B4" s="183" t="s">
        <v>70</v>
      </c>
      <c r="C4" s="183" t="s">
        <v>9</v>
      </c>
      <c r="D4" s="183" t="s">
        <v>1</v>
      </c>
      <c r="E4" s="179" t="s">
        <v>147</v>
      </c>
      <c r="F4" s="179" t="s">
        <v>148</v>
      </c>
      <c r="G4" s="179" t="s">
        <v>149</v>
      </c>
      <c r="H4" s="179" t="s">
        <v>150</v>
      </c>
      <c r="I4" s="179" t="s">
        <v>151</v>
      </c>
      <c r="J4" s="179" t="s">
        <v>154</v>
      </c>
      <c r="K4" s="179" t="s">
        <v>153</v>
      </c>
      <c r="L4" s="179" t="s">
        <v>152</v>
      </c>
    </row>
    <row r="5" spans="1:12" x14ac:dyDescent="0.25">
      <c r="A5" s="163" t="s">
        <v>53</v>
      </c>
      <c r="B5" s="140" t="s">
        <v>31</v>
      </c>
      <c r="C5" s="140" t="s">
        <v>17</v>
      </c>
      <c r="D5" s="140" t="s">
        <v>30</v>
      </c>
      <c r="E5" s="169">
        <f>_xlfn.XLOOKUP(A5, Entity_Master[Entity_ID], Entity_Master[Outstanding ($B)], "Missing ID")</f>
        <v>35</v>
      </c>
      <c r="F5" s="169">
        <f>_xlfn.XLOOKUP(A5, Table5[Entity_ID], Table5[Entity_Denominator_Value ($B)], "Missing ID")</f>
        <v>181.08</v>
      </c>
      <c r="G5" s="170">
        <f>E5/F5</f>
        <v>0.19328473602827478</v>
      </c>
      <c r="H5" s="171">
        <f>_xlfn.XLOOKUP(A5, Table5[Entity_ID], Table5[Entity_GHG_Emissions (tCO2e)], "Missing ID")</f>
        <v>99108700</v>
      </c>
      <c r="I5" s="171">
        <f>G5*H5</f>
        <v>19156198.917605478</v>
      </c>
      <c r="J5" s="169" t="str">
        <f>IF(Funded_Emissions[[#This Row],[Attribute_Factor (%)]]&lt; 0.0001,"Check Units!","$ Units OK")</f>
        <v>$ Units OK</v>
      </c>
      <c r="K5" s="172" t="str">
        <f>IF(AND(Funded_Emissions[[#This Row],[Entity_ID]]=_xlfn.XLOOKUP(Funded_Emissions[[#This Row],[Entity_ID]],Entity_Master[Entity_ID],Entity_Master[Entity_ID]), Funded_Emissions[[#This Row],[Entity_ID]]=_xlfn.XLOOKUP(Funded_Emissions[[#This Row],[Entity_ID]],Table5[Entity_ID],Table5[Entity_ID])),"✅ Match","❌ ID MISMATCH")</f>
        <v>✅ Match</v>
      </c>
      <c r="L5" s="173" t="str">
        <f>IF(Funded_Emissions[[#This Row],[Attribute_Factor (%)]] &gt; 1, "Check Denominator", "✅ OK")</f>
        <v>✅ OK</v>
      </c>
    </row>
    <row r="6" spans="1:12" x14ac:dyDescent="0.25">
      <c r="A6" s="163" t="s">
        <v>50</v>
      </c>
      <c r="B6" s="140" t="s">
        <v>16</v>
      </c>
      <c r="C6" s="140" t="s">
        <v>17</v>
      </c>
      <c r="D6" s="140" t="s">
        <v>28</v>
      </c>
      <c r="E6" s="169">
        <f>_xlfn.XLOOKUP(A6, Entity_Master[Entity_ID], Entity_Master[Outstanding ($B)], "Missing ID")</f>
        <v>50</v>
      </c>
      <c r="F6" s="169">
        <f>_xlfn.XLOOKUP(A6, Table5[Entity_ID], Table5[Entity_Denominator_Value ($B)], "Missing ID")</f>
        <v>3713.28</v>
      </c>
      <c r="G6" s="170">
        <f>E6/F6</f>
        <v>1.3465184419165804E-2</v>
      </c>
      <c r="H6" s="171">
        <f>_xlfn.XLOOKUP(A6, Table5[Entity_ID], Table5[Entity_GHG_Emissions (tCO2e)], "Missing ID")</f>
        <v>15543000</v>
      </c>
      <c r="I6" s="171">
        <f>G6*H6</f>
        <v>209289.36142709409</v>
      </c>
      <c r="J6" s="169" t="str">
        <f>IF(Funded_Emissions[[#This Row],[Attribute_Factor (%)]]&lt; 0.0001,"Check Units!","$ Units OK")</f>
        <v>$ Units OK</v>
      </c>
      <c r="K6" s="172" t="str">
        <f>IF(AND(Funded_Emissions[[#This Row],[Entity_ID]]=_xlfn.XLOOKUP(Funded_Emissions[[#This Row],[Entity_ID]],Entity_Master[Entity_ID],Entity_Master[Entity_ID]), Funded_Emissions[[#This Row],[Entity_ID]]=_xlfn.XLOOKUP(Funded_Emissions[[#This Row],[Entity_ID]],Table5[Entity_ID],Table5[Entity_ID])),"✅ Match","❌ ID MISMATCH")</f>
        <v>✅ Match</v>
      </c>
      <c r="L6" s="173" t="str">
        <f>IF(Funded_Emissions[[#This Row],[Attribute_Factor (%)]] &gt; 1, "Check Denominator", "✅ OK")</f>
        <v>✅ OK</v>
      </c>
    </row>
    <row r="7" spans="1:12" x14ac:dyDescent="0.25">
      <c r="A7" s="163" t="s">
        <v>51</v>
      </c>
      <c r="B7" s="140" t="s">
        <v>22</v>
      </c>
      <c r="C7" s="140" t="s">
        <v>17</v>
      </c>
      <c r="D7" s="140" t="s">
        <v>64</v>
      </c>
      <c r="E7" s="169">
        <f>_xlfn.XLOOKUP(A7, Entity_Master[Entity_ID], Entity_Master[Outstanding ($B)], "Missing ID")</f>
        <v>10</v>
      </c>
      <c r="F7" s="169">
        <f>_xlfn.XLOOKUP(A7, Table5[Entity_ID], Table5[Entity_Denominator_Value ($B)], "Missing ID")</f>
        <v>201.3</v>
      </c>
      <c r="G7" s="170">
        <f>E7/F7</f>
        <v>4.9677098857426723E-2</v>
      </c>
      <c r="H7" s="171">
        <f>_xlfn.XLOOKUP(A7, Table5[Entity_ID], Table5[Entity_GHG_Emissions (tCO2e)], "Missing ID")</f>
        <v>451040000</v>
      </c>
      <c r="I7" s="171">
        <f>G7*H7</f>
        <v>22406358.668653749</v>
      </c>
      <c r="J7" s="169" t="str">
        <f>IF(Funded_Emissions[[#This Row],[Attribute_Factor (%)]]&lt; 0.0001,"Check Units!","$ Units OK")</f>
        <v>$ Units OK</v>
      </c>
      <c r="K7" s="172" t="str">
        <f>IF(AND(Funded_Emissions[[#This Row],[Entity_ID]]=_xlfn.XLOOKUP(Funded_Emissions[[#This Row],[Entity_ID]],Entity_Master[Entity_ID],Entity_Master[Entity_ID]), Funded_Emissions[[#This Row],[Entity_ID]]=_xlfn.XLOOKUP(Funded_Emissions[[#This Row],[Entity_ID]],Table5[Entity_ID],Table5[Entity_ID])),"✅ Match","❌ ID MISMATCH")</f>
        <v>✅ Match</v>
      </c>
      <c r="L7" s="173" t="str">
        <f>IF(Funded_Emissions[[#This Row],[Attribute_Factor (%)]] &gt; 1, "Check Denominator", "✅ OK")</f>
        <v>✅ OK</v>
      </c>
    </row>
    <row r="8" spans="1:12" x14ac:dyDescent="0.25">
      <c r="A8" s="163" t="s">
        <v>52</v>
      </c>
      <c r="B8" s="140" t="s">
        <v>38</v>
      </c>
      <c r="C8" s="140" t="s">
        <v>17</v>
      </c>
      <c r="D8" s="140" t="s">
        <v>37</v>
      </c>
      <c r="E8" s="169">
        <f>_xlfn.XLOOKUP(A8, Entity_Master[Entity_ID], Entity_Master[Outstanding ($B)], "Missing ID")</f>
        <v>20</v>
      </c>
      <c r="F8" s="169">
        <f>_xlfn.XLOOKUP(A8, Table5[Entity_ID], Table5[Entity_Denominator_Value ($B)], "Missing ID")</f>
        <v>29</v>
      </c>
      <c r="G8" s="170">
        <f>E8/F8</f>
        <v>0.68965517241379315</v>
      </c>
      <c r="H8" s="171">
        <f>_xlfn.XLOOKUP(A8, Table5[Entity_ID], Table5[Entity_GHG_Emissions (tCO2e)], "Missing ID")</f>
        <v>65686757</v>
      </c>
      <c r="I8" s="171">
        <f>G8*H8</f>
        <v>45301211.724137932</v>
      </c>
      <c r="J8" s="169" t="str">
        <f>IF(Funded_Emissions[[#This Row],[Attribute_Factor (%)]]&lt; 0.0001,"Check Units!","$ Units OK")</f>
        <v>$ Units OK</v>
      </c>
      <c r="K8" s="172" t="str">
        <f>IF(AND(Funded_Emissions[[#This Row],[Entity_ID]]=_xlfn.XLOOKUP(Funded_Emissions[[#This Row],[Entity_ID]],Entity_Master[Entity_ID],Entity_Master[Entity_ID]), Funded_Emissions[[#This Row],[Entity_ID]]=_xlfn.XLOOKUP(Funded_Emissions[[#This Row],[Entity_ID]],Table5[Entity_ID],Table5[Entity_ID])),"✅ Match","❌ ID MISMATCH")</f>
        <v>✅ Match</v>
      </c>
      <c r="L8" s="173" t="str">
        <f>IF(Funded_Emissions[[#This Row],[Attribute_Factor (%)]] &gt; 1, "Check Denominator", "✅ OK")</f>
        <v>✅ OK</v>
      </c>
    </row>
    <row r="9" spans="1:12" x14ac:dyDescent="0.25">
      <c r="A9" s="163" t="s">
        <v>120</v>
      </c>
      <c r="B9" s="140" t="s">
        <v>119</v>
      </c>
      <c r="C9" s="140" t="s">
        <v>40</v>
      </c>
      <c r="D9" s="140" t="s">
        <v>34</v>
      </c>
      <c r="E9" s="169">
        <f>_xlfn.XLOOKUP(A9, Entity_Master[Entity_ID], Entity_Master[Outstanding ($B)], "Missing ID")</f>
        <v>0.2</v>
      </c>
      <c r="F9" s="169">
        <f>_xlfn.XLOOKUP(A9, Table5[Entity_ID], Table5[Entity_Denominator_Value ($B)], "Missing ID")</f>
        <v>1.5</v>
      </c>
      <c r="G9" s="170">
        <f>E9/F9</f>
        <v>0.13333333333333333</v>
      </c>
      <c r="H9" s="171">
        <f>_xlfn.XLOOKUP(A9, Table5[Entity_ID], Table5[Entity_GHG_Emissions (tCO2e)], "Missing ID")</f>
        <v>9967</v>
      </c>
      <c r="I9" s="171">
        <f>G9*H9</f>
        <v>1328.9333333333334</v>
      </c>
      <c r="J9" s="169" t="str">
        <f>IF(Funded_Emissions[[#This Row],[Attribute_Factor (%)]]&lt; 0.0001,"Check Units!","$ Units OK")</f>
        <v>$ Units OK</v>
      </c>
      <c r="K9" s="172" t="str">
        <f>IF(AND(Funded_Emissions[[#This Row],[Entity_ID]]=_xlfn.XLOOKUP(Funded_Emissions[[#This Row],[Entity_ID]],Entity_Master[Entity_ID],Entity_Master[Entity_ID]), Funded_Emissions[[#This Row],[Entity_ID]]=_xlfn.XLOOKUP(Funded_Emissions[[#This Row],[Entity_ID]],Table5[Entity_ID],Table5[Entity_ID])),"✅ Match","❌ ID MISMATCH")</f>
        <v>✅ Match</v>
      </c>
      <c r="L9" s="173" t="str">
        <f>IF(Funded_Emissions[[#This Row],[Attribute_Factor (%)]] &gt; 1, "Check Denominator", "✅ OK")</f>
        <v>✅ OK</v>
      </c>
    </row>
    <row r="10" spans="1:12" x14ac:dyDescent="0.25">
      <c r="A10" s="163" t="s">
        <v>92</v>
      </c>
      <c r="B10" s="140" t="s">
        <v>32</v>
      </c>
      <c r="C10" s="140" t="s">
        <v>19</v>
      </c>
      <c r="D10" s="140" t="s">
        <v>30</v>
      </c>
      <c r="E10" s="169">
        <f>_xlfn.XLOOKUP(A10, Entity_Master[Entity_ID], Entity_Master[Outstanding ($B)], "Missing ID")</f>
        <v>15</v>
      </c>
      <c r="F10" s="169">
        <f>_xlfn.XLOOKUP(A10, Table5[Entity_ID], Table5[Entity_Denominator_Value ($B)], "Missing ID")</f>
        <v>40.06</v>
      </c>
      <c r="G10" s="170">
        <f>E10/F10</f>
        <v>0.37443834248627056</v>
      </c>
      <c r="H10" s="171">
        <f>_xlfn.XLOOKUP(A10, Table5[Entity_ID], Table5[Entity_GHG_Emissions (tCO2e)], "Missing ID")</f>
        <v>110561000</v>
      </c>
      <c r="I10" s="171">
        <f>G10*H10</f>
        <v>41398277.583624557</v>
      </c>
      <c r="J10" s="169" t="str">
        <f>IF(Funded_Emissions[[#This Row],[Attribute_Factor (%)]]&lt; 0.0001,"Check Units!","$ Units OK")</f>
        <v>$ Units OK</v>
      </c>
      <c r="K10" s="172" t="str">
        <f>IF(AND(Funded_Emissions[[#This Row],[Entity_ID]]=_xlfn.XLOOKUP(Funded_Emissions[[#This Row],[Entity_ID]],Entity_Master[Entity_ID],Entity_Master[Entity_ID]), Funded_Emissions[[#This Row],[Entity_ID]]=_xlfn.XLOOKUP(Funded_Emissions[[#This Row],[Entity_ID]],Table5[Entity_ID],Table5[Entity_ID])),"✅ Match","❌ ID MISMATCH")</f>
        <v>✅ Match</v>
      </c>
      <c r="L10" s="173" t="str">
        <f>IF(Funded_Emissions[[#This Row],[Attribute_Factor (%)]] &gt; 1, "Check Denominator", "✅ OK")</f>
        <v>✅ OK</v>
      </c>
    </row>
    <row r="11" spans="1:12" x14ac:dyDescent="0.25">
      <c r="A11" s="163" t="s">
        <v>43</v>
      </c>
      <c r="B11" s="140" t="s">
        <v>18</v>
      </c>
      <c r="C11" s="140" t="s">
        <v>19</v>
      </c>
      <c r="D11" s="140" t="s">
        <v>29</v>
      </c>
      <c r="E11" s="169">
        <f>_xlfn.XLOOKUP(A11, Entity_Master[Entity_ID], Entity_Master[Outstanding ($B)], "Missing ID")</f>
        <v>2.15</v>
      </c>
      <c r="F11" s="169">
        <f>_xlfn.XLOOKUP(A11, Table5[Entity_ID], Table5[Entity_Denominator_Value ($B)], "Missing ID")</f>
        <v>12.67</v>
      </c>
      <c r="G11" s="170">
        <f>E11/F11</f>
        <v>0.1696921862667719</v>
      </c>
      <c r="H11" s="171">
        <f>_xlfn.XLOOKUP(A11, Table5[Entity_ID], Table5[Entity_GHG_Emissions (tCO2e)], "Missing ID")</f>
        <v>231917.96453940001</v>
      </c>
      <c r="I11" s="171">
        <f>G11*H11</f>
        <v>39354.666437230466</v>
      </c>
      <c r="J11" s="169" t="str">
        <f>IF(Funded_Emissions[[#This Row],[Attribute_Factor (%)]]&lt; 0.0001,"Check Units!","$ Units OK")</f>
        <v>$ Units OK</v>
      </c>
      <c r="K11" s="172" t="str">
        <f>IF(AND(Funded_Emissions[[#This Row],[Entity_ID]]=_xlfn.XLOOKUP(Funded_Emissions[[#This Row],[Entity_ID]],Entity_Master[Entity_ID],Entity_Master[Entity_ID]), Funded_Emissions[[#This Row],[Entity_ID]]=_xlfn.XLOOKUP(Funded_Emissions[[#This Row],[Entity_ID]],Table5[Entity_ID],Table5[Entity_ID])),"✅ Match","❌ ID MISMATCH")</f>
        <v>✅ Match</v>
      </c>
      <c r="L11" s="173" t="str">
        <f>IF(Funded_Emissions[[#This Row],[Attribute_Factor (%)]] &gt; 1, "Check Denominator", "✅ OK")</f>
        <v>✅ OK</v>
      </c>
    </row>
    <row r="12" spans="1:12" x14ac:dyDescent="0.25">
      <c r="A12" s="163" t="s">
        <v>47</v>
      </c>
      <c r="B12" s="140" t="s">
        <v>23</v>
      </c>
      <c r="C12" s="140" t="s">
        <v>19</v>
      </c>
      <c r="D12" s="140" t="s">
        <v>64</v>
      </c>
      <c r="E12" s="169">
        <f>_xlfn.XLOOKUP(A12, Entity_Master[Entity_ID], Entity_Master[Outstanding ($B)], "Missing ID")</f>
        <v>7</v>
      </c>
      <c r="F12" s="169">
        <f>_xlfn.XLOOKUP(A12, Table5[Entity_ID], Table5[Entity_Denominator_Value ($B)], "Missing ID")</f>
        <v>19.067</v>
      </c>
      <c r="G12" s="170">
        <f>E12/F12</f>
        <v>0.36712644883830703</v>
      </c>
      <c r="H12" s="171">
        <f>_xlfn.XLOOKUP(A12, Table5[Entity_ID], Table5[Entity_GHG_Emissions (tCO2e)], "Missing ID")</f>
        <v>10724842.155999999</v>
      </c>
      <c r="I12" s="171">
        <f>G12*H12</f>
        <v>3937373.2150836522</v>
      </c>
      <c r="J12" s="169" t="str">
        <f>IF(Funded_Emissions[[#This Row],[Attribute_Factor (%)]]&lt; 0.0001,"Check Units!","$ Units OK")</f>
        <v>$ Units OK</v>
      </c>
      <c r="K12" s="172" t="str">
        <f>IF(AND(Funded_Emissions[[#This Row],[Entity_ID]]=_xlfn.XLOOKUP(Funded_Emissions[[#This Row],[Entity_ID]],Entity_Master[Entity_ID],Entity_Master[Entity_ID]), Funded_Emissions[[#This Row],[Entity_ID]]=_xlfn.XLOOKUP(Funded_Emissions[[#This Row],[Entity_ID]],Table5[Entity_ID],Table5[Entity_ID])),"✅ Match","❌ ID MISMATCH")</f>
        <v>✅ Match</v>
      </c>
      <c r="L12" s="173" t="str">
        <f>IF(Funded_Emissions[[#This Row],[Attribute_Factor (%)]] &gt; 1, "Check Denominator", "✅ OK")</f>
        <v>✅ OK</v>
      </c>
    </row>
    <row r="13" spans="1:12" x14ac:dyDescent="0.25">
      <c r="A13" s="163" t="s">
        <v>48</v>
      </c>
      <c r="B13" s="140" t="s">
        <v>27</v>
      </c>
      <c r="C13" s="140" t="s">
        <v>19</v>
      </c>
      <c r="D13" s="140" t="s">
        <v>6</v>
      </c>
      <c r="E13" s="169">
        <f>_xlfn.XLOOKUP(A13, Entity_Master[Entity_ID], Entity_Master[Outstanding ($B)], "Missing ID")</f>
        <v>3</v>
      </c>
      <c r="F13" s="169">
        <f>_xlfn.XLOOKUP(A13, Table5[Entity_ID], Table5[Entity_Denominator_Value ($B)], "Missing ID")</f>
        <v>15</v>
      </c>
      <c r="G13" s="170">
        <f>E13/F13</f>
        <v>0.2</v>
      </c>
      <c r="H13" s="171">
        <f>_xlfn.XLOOKUP(A13, Table5[Entity_ID], Table5[Entity_GHG_Emissions (tCO2e)], "Missing ID")</f>
        <v>474000</v>
      </c>
      <c r="I13" s="171">
        <f>G13*H13</f>
        <v>94800</v>
      </c>
      <c r="J13" s="169" t="str">
        <f>IF(Funded_Emissions[[#This Row],[Attribute_Factor (%)]]&lt; 0.0001,"Check Units!","$ Units OK")</f>
        <v>$ Units OK</v>
      </c>
      <c r="K13" s="172" t="str">
        <f>IF(AND(Funded_Emissions[[#This Row],[Entity_ID]]=_xlfn.XLOOKUP(Funded_Emissions[[#This Row],[Entity_ID]],Entity_Master[Entity_ID],Entity_Master[Entity_ID]), Funded_Emissions[[#This Row],[Entity_ID]]=_xlfn.XLOOKUP(Funded_Emissions[[#This Row],[Entity_ID]],Table5[Entity_ID],Table5[Entity_ID])),"✅ Match","❌ ID MISMATCH")</f>
        <v>✅ Match</v>
      </c>
      <c r="L13" s="173" t="str">
        <f>IF(Funded_Emissions[[#This Row],[Attribute_Factor (%)]] &gt; 1, "Check Denominator", "✅ OK")</f>
        <v>✅ OK</v>
      </c>
    </row>
    <row r="14" spans="1:12" x14ac:dyDescent="0.25">
      <c r="A14" s="163" t="s">
        <v>44</v>
      </c>
      <c r="B14" s="140" t="s">
        <v>39</v>
      </c>
      <c r="C14" s="140" t="s">
        <v>19</v>
      </c>
      <c r="D14" s="140" t="s">
        <v>37</v>
      </c>
      <c r="E14" s="169">
        <f>_xlfn.XLOOKUP(A14, Entity_Master[Entity_ID], Entity_Master[Outstanding ($B)], "Missing ID")</f>
        <v>2</v>
      </c>
      <c r="F14" s="169">
        <f>_xlfn.XLOOKUP(A14, Table5[Entity_ID], Table5[Entity_Denominator_Value ($B)], "Missing ID")</f>
        <v>16</v>
      </c>
      <c r="G14" s="170">
        <f>E14/F14</f>
        <v>0.125</v>
      </c>
      <c r="H14" s="171">
        <f>_xlfn.XLOOKUP(A14, Table5[Entity_ID], Table5[Entity_GHG_Emissions (tCO2e)], "Missing ID")</f>
        <v>1224999.9999999998</v>
      </c>
      <c r="I14" s="171">
        <f>G14*H14</f>
        <v>153124.99999999997</v>
      </c>
      <c r="J14" s="169" t="str">
        <f>IF(Funded_Emissions[[#This Row],[Attribute_Factor (%)]]&lt; 0.0001,"Check Units!","$ Units OK")</f>
        <v>$ Units OK</v>
      </c>
      <c r="K14" s="172" t="str">
        <f>IF(AND(Funded_Emissions[[#This Row],[Entity_ID]]=_xlfn.XLOOKUP(Funded_Emissions[[#This Row],[Entity_ID]],Entity_Master[Entity_ID],Entity_Master[Entity_ID]), Funded_Emissions[[#This Row],[Entity_ID]]=_xlfn.XLOOKUP(Funded_Emissions[[#This Row],[Entity_ID]],Table5[Entity_ID],Table5[Entity_ID])),"✅ Match","❌ ID MISMATCH")</f>
        <v>✅ Match</v>
      </c>
      <c r="L14" s="173" t="str">
        <f>IF(Funded_Emissions[[#This Row],[Attribute_Factor (%)]] &gt; 1, "Check Denominator", "✅ OK")</f>
        <v>✅ OK</v>
      </c>
    </row>
    <row r="15" spans="1:12" x14ac:dyDescent="0.25">
      <c r="A15" s="163" t="s">
        <v>45</v>
      </c>
      <c r="B15" s="140" t="s">
        <v>20</v>
      </c>
      <c r="C15" s="140" t="s">
        <v>19</v>
      </c>
      <c r="D15" s="140" t="s">
        <v>4</v>
      </c>
      <c r="E15" s="169">
        <f>_xlfn.XLOOKUP(A15, Entity_Master[Entity_ID], Entity_Master[Outstanding ($B)], "Missing ID")</f>
        <v>25</v>
      </c>
      <c r="F15" s="169">
        <f>_xlfn.XLOOKUP(A15, Table5[Entity_ID], Table5[Entity_Denominator_Value ($B)], "Missing ID")</f>
        <v>232.26</v>
      </c>
      <c r="G15" s="170">
        <f>E15/F15</f>
        <v>0.10763799190562301</v>
      </c>
      <c r="H15" s="171">
        <f>_xlfn.XLOOKUP(A15, Table5[Entity_ID], Table5[Entity_GHG_Emissions (tCO2e)], "Missing ID")</f>
        <v>593187.44999999995</v>
      </c>
      <c r="I15" s="171">
        <f>G15*H15</f>
        <v>63849.50594161715</v>
      </c>
      <c r="J15" s="169" t="str">
        <f>IF(Funded_Emissions[[#This Row],[Attribute_Factor (%)]]&lt; 0.0001,"Check Units!","$ Units OK")</f>
        <v>$ Units OK</v>
      </c>
      <c r="K15" s="172" t="str">
        <f>IF(AND(Funded_Emissions[[#This Row],[Entity_ID]]=_xlfn.XLOOKUP(Funded_Emissions[[#This Row],[Entity_ID]],Entity_Master[Entity_ID],Entity_Master[Entity_ID]), Funded_Emissions[[#This Row],[Entity_ID]]=_xlfn.XLOOKUP(Funded_Emissions[[#This Row],[Entity_ID]],Table5[Entity_ID],Table5[Entity_ID])),"✅ Match","❌ ID MISMATCH")</f>
        <v>✅ Match</v>
      </c>
      <c r="L15" s="173" t="str">
        <f>IF(Funded_Emissions[[#This Row],[Attribute_Factor (%)]] &gt; 1, "Check Denominator", "✅ OK")</f>
        <v>✅ OK</v>
      </c>
    </row>
    <row r="16" spans="1:12" x14ac:dyDescent="0.25">
      <c r="A16" s="163" t="s">
        <v>46</v>
      </c>
      <c r="B16" s="140" t="s">
        <v>21</v>
      </c>
      <c r="C16" s="140" t="s">
        <v>19</v>
      </c>
      <c r="D16" s="140" t="s">
        <v>5</v>
      </c>
      <c r="E16" s="169">
        <f>_xlfn.XLOOKUP(A16, Entity_Master[Entity_ID], Entity_Master[Outstanding ($B)], "Missing ID")</f>
        <v>15</v>
      </c>
      <c r="F16" s="169">
        <f>_xlfn.XLOOKUP(A16, Table5[Entity_ID], Table5[Entity_Denominator_Value ($B)], "Missing ID")</f>
        <v>35.630000000000003</v>
      </c>
      <c r="G16" s="170">
        <f>E16/F16</f>
        <v>0.42099354476564688</v>
      </c>
      <c r="H16" s="171">
        <f>_xlfn.XLOOKUP(A16, Table5[Entity_ID], Table5[Entity_GHG_Emissions (tCO2e)], "Missing ID")</f>
        <v>92100000</v>
      </c>
      <c r="I16" s="171">
        <f>G16*H16</f>
        <v>38773505.472916074</v>
      </c>
      <c r="J16" s="169" t="str">
        <f>IF(Funded_Emissions[[#This Row],[Attribute_Factor (%)]]&lt; 0.0001,"Check Units!","$ Units OK")</f>
        <v>$ Units OK</v>
      </c>
      <c r="K16" s="172" t="str">
        <f>IF(AND(Funded_Emissions[[#This Row],[Entity_ID]]=_xlfn.XLOOKUP(Funded_Emissions[[#This Row],[Entity_ID]],Entity_Master[Entity_ID],Entity_Master[Entity_ID]), Funded_Emissions[[#This Row],[Entity_ID]]=_xlfn.XLOOKUP(Funded_Emissions[[#This Row],[Entity_ID]],Table5[Entity_ID],Table5[Entity_ID])),"✅ Match","❌ ID MISMATCH")</f>
        <v>✅ Match</v>
      </c>
      <c r="L16" s="173" t="str">
        <f>IF(Funded_Emissions[[#This Row],[Attribute_Factor (%)]] &gt; 1, "Check Denominator", "✅ OK")</f>
        <v>✅ OK</v>
      </c>
    </row>
    <row r="17" spans="1:12" x14ac:dyDescent="0.25">
      <c r="A17" s="163" t="s">
        <v>62</v>
      </c>
      <c r="B17" s="140" t="s">
        <v>35</v>
      </c>
      <c r="C17" s="140" t="s">
        <v>36</v>
      </c>
      <c r="D17" s="140" t="s">
        <v>34</v>
      </c>
      <c r="E17" s="169">
        <f>_xlfn.XLOOKUP(A17, Entity_Master[Entity_ID], Entity_Master[Outstanding ($B)], "Missing ID")</f>
        <v>0.35</v>
      </c>
      <c r="F17" s="169">
        <f>_xlfn.XLOOKUP(A17, Table5[Entity_ID], Table5[Entity_Denominator_Value ($B)], "Missing ID")</f>
        <v>1.875</v>
      </c>
      <c r="G17" s="170">
        <f>E17/F17</f>
        <v>0.18666666666666665</v>
      </c>
      <c r="H17" s="171">
        <f>_xlfn.XLOOKUP(A17, Table5[Entity_ID], Table5[Entity_GHG_Emissions (tCO2e)], "Missing ID")</f>
        <v>4724</v>
      </c>
      <c r="I17" s="171">
        <f>G17*H17</f>
        <v>881.81333333333328</v>
      </c>
      <c r="J17" s="169" t="str">
        <f>IF(Funded_Emissions[[#This Row],[Attribute_Factor (%)]]&lt; 0.0001,"Check Units!","$ Units OK")</f>
        <v>$ Units OK</v>
      </c>
      <c r="K17" s="172" t="str">
        <f>IF(AND(Funded_Emissions[[#This Row],[Entity_ID]]=_xlfn.XLOOKUP(Funded_Emissions[[#This Row],[Entity_ID]],Entity_Master[Entity_ID],Entity_Master[Entity_ID]), Funded_Emissions[[#This Row],[Entity_ID]]=_xlfn.XLOOKUP(Funded_Emissions[[#This Row],[Entity_ID]],Table5[Entity_ID],Table5[Entity_ID])),"✅ Match","❌ ID MISMATCH")</f>
        <v>✅ Match</v>
      </c>
      <c r="L17" s="173" t="str">
        <f>IF(Funded_Emissions[[#This Row],[Attribute_Factor (%)]] &gt; 1, "Check Denominator", "✅ OK")</f>
        <v>✅ OK</v>
      </c>
    </row>
    <row r="18" spans="1:12" x14ac:dyDescent="0.25">
      <c r="A18" s="163" t="s">
        <v>54</v>
      </c>
      <c r="B18" s="140" t="s">
        <v>24</v>
      </c>
      <c r="C18" s="140" t="s">
        <v>2</v>
      </c>
      <c r="D18" s="140" t="s">
        <v>6</v>
      </c>
      <c r="E18" s="169">
        <f>_xlfn.XLOOKUP(A18, Entity_Master[Entity_ID], Entity_Master[Outstanding ($B)], "Missing ID")</f>
        <v>25</v>
      </c>
      <c r="F18" s="169">
        <f>_xlfn.XLOOKUP(A18, Table5[Entity_ID], Table5[Entity_Denominator_Value ($B)], "Missing ID")</f>
        <v>35</v>
      </c>
      <c r="G18" s="170">
        <f>E18/F18</f>
        <v>0.7142857142857143</v>
      </c>
      <c r="H18" s="171">
        <f>_xlfn.XLOOKUP(A18, Table5[Entity_ID], Table5[Entity_GHG_Emissions (tCO2e)], "Missing ID")</f>
        <v>579470</v>
      </c>
      <c r="I18" s="171">
        <f>G18*H18</f>
        <v>413907.14285714284</v>
      </c>
      <c r="J18" s="169" t="str">
        <f>IF(Funded_Emissions[[#This Row],[Attribute_Factor (%)]]&lt; 0.0001,"Check Units!","$ Units OK")</f>
        <v>$ Units OK</v>
      </c>
      <c r="K18" s="172" t="str">
        <f>IF(AND(Funded_Emissions[[#This Row],[Entity_ID]]=_xlfn.XLOOKUP(Funded_Emissions[[#This Row],[Entity_ID]],Entity_Master[Entity_ID],Entity_Master[Entity_ID]), Funded_Emissions[[#This Row],[Entity_ID]]=_xlfn.XLOOKUP(Funded_Emissions[[#This Row],[Entity_ID]],Table5[Entity_ID],Table5[Entity_ID])),"✅ Match","❌ ID MISMATCH")</f>
        <v>✅ Match</v>
      </c>
      <c r="L18" s="173" t="str">
        <f>IF(Funded_Emissions[[#This Row],[Attribute_Factor (%)]] &gt; 1, "Check Denominator", "✅ OK")</f>
        <v>✅ OK</v>
      </c>
    </row>
    <row r="19" spans="1:12" x14ac:dyDescent="0.25">
      <c r="A19" s="163" t="s">
        <v>42</v>
      </c>
      <c r="B19" s="140" t="s">
        <v>12</v>
      </c>
      <c r="C19" s="140" t="s">
        <v>0</v>
      </c>
      <c r="D19" s="140" t="s">
        <v>3</v>
      </c>
      <c r="E19" s="169">
        <f>_xlfn.XLOOKUP(A19, Entity_Master[Entity_ID], Entity_Master[Outstanding ($B)], "Missing ID")</f>
        <v>300</v>
      </c>
      <c r="F19" s="169">
        <f>_xlfn.XLOOKUP(A19, Table5[Entity_ID], Table5[Entity_Denominator_Value ($B)], "Missing ID")</f>
        <v>6320</v>
      </c>
      <c r="G19" s="170">
        <f>E19/F19</f>
        <v>4.746835443037975E-2</v>
      </c>
      <c r="H19" s="171">
        <f>_xlfn.XLOOKUP(A19, Table5[Entity_ID], Table5[Entity_GHG_Emissions (tCO2e)], "Missing ID")</f>
        <v>572320000</v>
      </c>
      <c r="I19" s="171">
        <f>G19*H19</f>
        <v>27167088.607594937</v>
      </c>
      <c r="J19" s="169" t="str">
        <f>IF(Funded_Emissions[[#This Row],[Attribute_Factor (%)]]&lt; 0.0001,"Check Units!","$ Units OK")</f>
        <v>$ Units OK</v>
      </c>
      <c r="K19" s="172" t="str">
        <f>IF(AND(Funded_Emissions[[#This Row],[Entity_ID]]=_xlfn.XLOOKUP(Funded_Emissions[[#This Row],[Entity_ID]],Entity_Master[Entity_ID],Entity_Master[Entity_ID]), Funded_Emissions[[#This Row],[Entity_ID]]=_xlfn.XLOOKUP(Funded_Emissions[[#This Row],[Entity_ID]],Table5[Entity_ID],Table5[Entity_ID])),"✅ Match","❌ ID MISMATCH")</f>
        <v>✅ Match</v>
      </c>
      <c r="L19" s="173" t="str">
        <f>IF(Funded_Emissions[[#This Row],[Attribute_Factor (%)]] &gt; 1, "Check Denominator", "✅ OK")</f>
        <v>✅ OK</v>
      </c>
    </row>
    <row r="20" spans="1:12" x14ac:dyDescent="0.25">
      <c r="A20" s="163" t="s">
        <v>97</v>
      </c>
      <c r="B20" s="140" t="s">
        <v>15</v>
      </c>
      <c r="C20" s="140" t="s">
        <v>95</v>
      </c>
      <c r="D20" s="140" t="s">
        <v>3</v>
      </c>
      <c r="E20" s="169">
        <f>_xlfn.XLOOKUP(A20, Entity_Master[Entity_ID], Entity_Master[Outstanding ($B)], "Missing ID")</f>
        <v>30</v>
      </c>
      <c r="F20" s="169">
        <f>_xlfn.XLOOKUP(A20, Table5[Entity_ID], Table5[Entity_Denominator_Value ($B)], "Missing ID")</f>
        <v>1178</v>
      </c>
      <c r="G20" s="170">
        <f>E20/F20</f>
        <v>2.5466893039049237E-2</v>
      </c>
      <c r="H20" s="171">
        <f>_xlfn.XLOOKUP(A20, Table5[Entity_ID], Table5[Entity_GHG_Emissions (tCO2e)], "Missing ID")</f>
        <v>24560000</v>
      </c>
      <c r="I20" s="171">
        <f>G20*H20</f>
        <v>625466.89303904923</v>
      </c>
      <c r="J20" s="169" t="str">
        <f>IF(Funded_Emissions[[#This Row],[Attribute_Factor (%)]]&lt; 0.0001,"Check Units!","$ Units OK")</f>
        <v>$ Units OK</v>
      </c>
      <c r="K20" s="172" t="str">
        <f>IF(AND(Funded_Emissions[[#This Row],[Entity_ID]]=_xlfn.XLOOKUP(Funded_Emissions[[#This Row],[Entity_ID]],Entity_Master[Entity_ID],Entity_Master[Entity_ID]), Funded_Emissions[[#This Row],[Entity_ID]]=_xlfn.XLOOKUP(Funded_Emissions[[#This Row],[Entity_ID]],Table5[Entity_ID],Table5[Entity_ID])),"✅ Match","❌ ID MISMATCH")</f>
        <v>✅ Match</v>
      </c>
      <c r="L20" s="173" t="str">
        <f>IF(Funded_Emissions[[#This Row],[Attribute_Factor (%)]] &gt; 1, "Check Denominator", "✅ OK")</f>
        <v>✅ OK</v>
      </c>
    </row>
    <row r="21" spans="1:12" x14ac:dyDescent="0.25">
      <c r="A21" s="163" t="s">
        <v>98</v>
      </c>
      <c r="B21" s="140" t="s">
        <v>14</v>
      </c>
      <c r="C21" s="140" t="s">
        <v>95</v>
      </c>
      <c r="D21" s="140" t="s">
        <v>3</v>
      </c>
      <c r="E21" s="169">
        <f>_xlfn.XLOOKUP(A21, Entity_Master[Entity_ID], Entity_Master[Outstanding ($B)], "Missing ID")</f>
        <v>70</v>
      </c>
      <c r="F21" s="169">
        <f>_xlfn.XLOOKUP(A21, Table5[Entity_ID], Table5[Entity_Denominator_Value ($B)], "Missing ID")</f>
        <v>4296</v>
      </c>
      <c r="G21" s="170">
        <f>E21/F21</f>
        <v>1.6294227188081937E-2</v>
      </c>
      <c r="H21" s="171">
        <f>_xlfn.XLOOKUP(A21, Table5[Entity_ID], Table5[Entity_GHG_Emissions (tCO2e)], "Missing ID")</f>
        <v>360400000</v>
      </c>
      <c r="I21" s="171">
        <f>G21*H21</f>
        <v>5872439.4785847301</v>
      </c>
      <c r="J21" s="169" t="str">
        <f>IF(Funded_Emissions[[#This Row],[Attribute_Factor (%)]]&lt; 0.0001,"Check Units!","$ Units OK")</f>
        <v>$ Units OK</v>
      </c>
      <c r="K21" s="172" t="str">
        <f>IF(AND(Funded_Emissions[[#This Row],[Entity_ID]]=_xlfn.XLOOKUP(Funded_Emissions[[#This Row],[Entity_ID]],Entity_Master[Entity_ID],Entity_Master[Entity_ID]), Funded_Emissions[[#This Row],[Entity_ID]]=_xlfn.XLOOKUP(Funded_Emissions[[#This Row],[Entity_ID]],Table5[Entity_ID],Table5[Entity_ID])),"✅ Match","❌ ID MISMATCH")</f>
        <v>✅ Match</v>
      </c>
      <c r="L21" s="173" t="str">
        <f>IF(Funded_Emissions[[#This Row],[Attribute_Factor (%)]] &gt; 1, "Check Denominator", "✅ OK")</f>
        <v>✅ OK</v>
      </c>
    </row>
    <row r="22" spans="1:12" x14ac:dyDescent="0.25">
      <c r="A22" s="163" t="s">
        <v>55</v>
      </c>
      <c r="B22" s="140" t="s">
        <v>25</v>
      </c>
      <c r="C22" s="140" t="s">
        <v>26</v>
      </c>
      <c r="D22" s="140" t="s">
        <v>6</v>
      </c>
      <c r="E22" s="169">
        <f>_xlfn.XLOOKUP(A22, Entity_Master[Entity_ID], Entity_Master[Outstanding ($B)], "Missing ID")</f>
        <v>7</v>
      </c>
      <c r="F22" s="169">
        <f>_xlfn.XLOOKUP(A22, Table5[Entity_ID], Table5[Entity_Denominator_Value ($B)], "Missing ID")</f>
        <v>15</v>
      </c>
      <c r="G22" s="170">
        <f>E22/F22</f>
        <v>0.46666666666666667</v>
      </c>
      <c r="H22" s="171">
        <f>_xlfn.XLOOKUP(A22, Table5[Entity_ID], Table5[Entity_GHG_Emissions (tCO2e)], "Missing ID")</f>
        <v>315000</v>
      </c>
      <c r="I22" s="171">
        <f>G22*H22</f>
        <v>147000</v>
      </c>
      <c r="J22" s="169" t="str">
        <f>IF(Funded_Emissions[[#This Row],[Attribute_Factor (%)]]&lt; 0.0001,"Check Units!","$ Units OK")</f>
        <v>$ Units OK</v>
      </c>
      <c r="K22" s="172" t="str">
        <f>IF(AND(Funded_Emissions[[#This Row],[Entity_ID]]=_xlfn.XLOOKUP(Funded_Emissions[[#This Row],[Entity_ID]],Entity_Master[Entity_ID],Entity_Master[Entity_ID]), Funded_Emissions[[#This Row],[Entity_ID]]=_xlfn.XLOOKUP(Funded_Emissions[[#This Row],[Entity_ID]],Table5[Entity_ID],Table5[Entity_ID])),"✅ Match","❌ ID MISMATCH")</f>
        <v>✅ Match</v>
      </c>
      <c r="L22" s="173" t="str">
        <f>IF(Funded_Emissions[[#This Row],[Attribute_Factor (%)]] &gt; 1, "Check Denominator", "✅ OK")</f>
        <v>✅ OK</v>
      </c>
    </row>
    <row r="23" spans="1:12" ht="15.75" thickBot="1" x14ac:dyDescent="0.3">
      <c r="A23" s="36" t="s">
        <v>158</v>
      </c>
      <c r="B23" s="36"/>
      <c r="C23" s="37"/>
      <c r="D23" s="37"/>
      <c r="E23" s="38"/>
      <c r="F23" s="38"/>
      <c r="G23" s="38"/>
      <c r="H23" s="41" t="s">
        <v>160</v>
      </c>
      <c r="I23" s="40">
        <f>SUM(I5:I22)</f>
        <v>205761456.98456991</v>
      </c>
      <c r="J23" s="38"/>
      <c r="K23" s="38"/>
      <c r="L23" s="38" t="str">
        <f>IF(Funded_Emissions[[#This Row],[Attribute_Factor (%)]] &gt; 1, "Check Denominator", "✅ OK")</f>
        <v>✅ OK</v>
      </c>
    </row>
    <row r="27" spans="1:12" x14ac:dyDescent="0.25">
      <c r="A27" s="9" t="s">
        <v>164</v>
      </c>
    </row>
    <row r="29" spans="1:12" ht="15.75" thickBot="1" x14ac:dyDescent="0.3">
      <c r="A29" s="180" t="s">
        <v>156</v>
      </c>
      <c r="B29" s="180"/>
      <c r="C29" s="180"/>
      <c r="D29" s="180"/>
      <c r="E29" s="181" t="s">
        <v>157</v>
      </c>
      <c r="F29" s="181"/>
      <c r="G29" s="181"/>
      <c r="H29" s="181" t="s">
        <v>155</v>
      </c>
      <c r="I29" s="181"/>
      <c r="J29" s="181" t="s">
        <v>146</v>
      </c>
      <c r="K29" s="181"/>
      <c r="L29" s="181"/>
    </row>
    <row r="30" spans="1:12" x14ac:dyDescent="0.25">
      <c r="A30" s="182" t="s">
        <v>8</v>
      </c>
      <c r="B30" s="183" t="s">
        <v>70</v>
      </c>
      <c r="C30" s="183" t="s">
        <v>9</v>
      </c>
      <c r="D30" s="183" t="s">
        <v>1</v>
      </c>
      <c r="E30" s="179" t="s">
        <v>159</v>
      </c>
      <c r="F30" s="179" t="s">
        <v>148</v>
      </c>
      <c r="G30" s="179" t="s">
        <v>149</v>
      </c>
      <c r="H30" s="179" t="s">
        <v>150</v>
      </c>
      <c r="I30" s="179" t="s">
        <v>151</v>
      </c>
      <c r="J30" s="179" t="s">
        <v>154</v>
      </c>
      <c r="K30" s="179" t="s">
        <v>153</v>
      </c>
      <c r="L30" s="179" t="s">
        <v>152</v>
      </c>
    </row>
    <row r="31" spans="1:12" x14ac:dyDescent="0.25">
      <c r="A31" s="163" t="s">
        <v>53</v>
      </c>
      <c r="B31" s="140" t="s">
        <v>31</v>
      </c>
      <c r="C31" s="140" t="s">
        <v>17</v>
      </c>
      <c r="D31" s="140" t="s">
        <v>30</v>
      </c>
      <c r="E31" s="164">
        <f>_xlfn.XLOOKUP(A31, Entity_Master[Entity_ID], Entity_Master[Total_Committed ($B)], "Missing ID")</f>
        <v>35</v>
      </c>
      <c r="F31" s="164">
        <f>_xlfn.XLOOKUP(A31, Table5[Entity_ID], Table5[Entity_Denominator_Value ($B)], "Missing ID")</f>
        <v>181.08</v>
      </c>
      <c r="G31" s="165">
        <f>E31/F31</f>
        <v>0.19328473602827478</v>
      </c>
      <c r="H31" s="166">
        <f>_xlfn.XLOOKUP(A31, Table5[Entity_ID], Table5[Entity_GHG_Emissions (tCO2e)], "Missing ID")</f>
        <v>99108700</v>
      </c>
      <c r="I31" s="166">
        <f>G31*H31</f>
        <v>19156198.917605478</v>
      </c>
      <c r="J31" s="164" t="str">
        <f>IF(Committed_Emissions[[#This Row],[Attribute_Factor (%)]]&lt; 0.0001,"Check Units!","$ Units OK")</f>
        <v>$ Units OK</v>
      </c>
      <c r="K31" s="167" t="str">
        <f>IF(AND(Committed_Emissions[[#This Row],[Entity_ID]]=_xlfn.XLOOKUP(Committed_Emissions[[#This Row],[Entity_ID]],Entity_Master[Entity_ID],Entity_Master[Entity_ID]), Committed_Emissions[[#This Row],[Entity_ID]]=_xlfn.XLOOKUP(Committed_Emissions[[#This Row],[Entity_ID]],Table5[Entity_ID],Table5[Entity_ID])),"✅ Match","❌ ID MISMATCH")</f>
        <v>✅ Match</v>
      </c>
      <c r="L31" s="168" t="str">
        <f>IF(Committed_Emissions[[#This Row],[Attribute_Factor (%)]] &gt; 1, "Check Denominator", "✅ OK")</f>
        <v>✅ OK</v>
      </c>
    </row>
    <row r="32" spans="1:12" x14ac:dyDescent="0.25">
      <c r="A32" s="163" t="s">
        <v>50</v>
      </c>
      <c r="B32" s="140" t="s">
        <v>16</v>
      </c>
      <c r="C32" s="140" t="s">
        <v>17</v>
      </c>
      <c r="D32" s="140" t="s">
        <v>28</v>
      </c>
      <c r="E32" s="164">
        <f>_xlfn.XLOOKUP(A32, Entity_Master[Entity_ID], Entity_Master[Total_Committed ($B)], "Missing ID")</f>
        <v>50</v>
      </c>
      <c r="F32" s="164">
        <f>_xlfn.XLOOKUP(A32, Table5[Entity_ID], Table5[Entity_Denominator_Value ($B)], "Missing ID")</f>
        <v>3713.28</v>
      </c>
      <c r="G32" s="165">
        <f t="shared" ref="G32:G48" si="0">E32/F32</f>
        <v>1.3465184419165804E-2</v>
      </c>
      <c r="H32" s="166">
        <f>_xlfn.XLOOKUP(A32, Table5[Entity_ID], Table5[Entity_GHG_Emissions (tCO2e)], "Missing ID")</f>
        <v>15543000</v>
      </c>
      <c r="I32" s="166">
        <f>G32*H32</f>
        <v>209289.36142709409</v>
      </c>
      <c r="J32" s="164" t="str">
        <f>IF(Committed_Emissions[[#This Row],[Attribute_Factor (%)]]&lt; 0.0001,"Check Units!","$ Units OK")</f>
        <v>$ Units OK</v>
      </c>
      <c r="K32" s="167" t="str">
        <f>IF(AND(Committed_Emissions[[#This Row],[Entity_ID]]=_xlfn.XLOOKUP(Committed_Emissions[[#This Row],[Entity_ID]],Entity_Master[Entity_ID],Entity_Master[Entity_ID]), Committed_Emissions[[#This Row],[Entity_ID]]=_xlfn.XLOOKUP(Committed_Emissions[[#This Row],[Entity_ID]],Table5[Entity_ID],Table5[Entity_ID])),"✅ Match","❌ ID MISMATCH")</f>
        <v>✅ Match</v>
      </c>
      <c r="L32" s="168" t="str">
        <f>IF(Committed_Emissions[[#This Row],[Attribute_Factor (%)]] &gt; 1, "Check Denominator", "✅ OK")</f>
        <v>✅ OK</v>
      </c>
    </row>
    <row r="33" spans="1:12" x14ac:dyDescent="0.25">
      <c r="A33" s="163" t="s">
        <v>51</v>
      </c>
      <c r="B33" s="140" t="s">
        <v>22</v>
      </c>
      <c r="C33" s="140" t="s">
        <v>17</v>
      </c>
      <c r="D33" s="140" t="s">
        <v>64</v>
      </c>
      <c r="E33" s="164">
        <f>_xlfn.XLOOKUP(A33, Entity_Master[Entity_ID], Entity_Master[Total_Committed ($B)], "Missing ID")</f>
        <v>10</v>
      </c>
      <c r="F33" s="164">
        <f>_xlfn.XLOOKUP(A33, Table5[Entity_ID], Table5[Entity_Denominator_Value ($B)], "Missing ID")</f>
        <v>201.3</v>
      </c>
      <c r="G33" s="165">
        <f t="shared" si="0"/>
        <v>4.9677098857426723E-2</v>
      </c>
      <c r="H33" s="166">
        <f>_xlfn.XLOOKUP(A33, Table5[Entity_ID], Table5[Entity_GHG_Emissions (tCO2e)], "Missing ID")</f>
        <v>451040000</v>
      </c>
      <c r="I33" s="166">
        <f>G33*H33</f>
        <v>22406358.668653749</v>
      </c>
      <c r="J33" s="164" t="str">
        <f>IF(Committed_Emissions[[#This Row],[Attribute_Factor (%)]]&lt; 0.0001,"Check Units!","$ Units OK")</f>
        <v>$ Units OK</v>
      </c>
      <c r="K33" s="167" t="str">
        <f>IF(AND(Committed_Emissions[[#This Row],[Entity_ID]]=_xlfn.XLOOKUP(Committed_Emissions[[#This Row],[Entity_ID]],Entity_Master[Entity_ID],Entity_Master[Entity_ID]), Committed_Emissions[[#This Row],[Entity_ID]]=_xlfn.XLOOKUP(Committed_Emissions[[#This Row],[Entity_ID]],Table5[Entity_ID],Table5[Entity_ID])),"✅ Match","❌ ID MISMATCH")</f>
        <v>✅ Match</v>
      </c>
      <c r="L33" s="168" t="str">
        <f>IF(Committed_Emissions[[#This Row],[Attribute_Factor (%)]] &gt; 1, "Check Denominator", "✅ OK")</f>
        <v>✅ OK</v>
      </c>
    </row>
    <row r="34" spans="1:12" x14ac:dyDescent="0.25">
      <c r="A34" s="163" t="s">
        <v>52</v>
      </c>
      <c r="B34" s="140" t="s">
        <v>38</v>
      </c>
      <c r="C34" s="140" t="s">
        <v>17</v>
      </c>
      <c r="D34" s="140" t="s">
        <v>37</v>
      </c>
      <c r="E34" s="164">
        <f>_xlfn.XLOOKUP(A34, Entity_Master[Entity_ID], Entity_Master[Total_Committed ($B)], "Missing ID")</f>
        <v>20</v>
      </c>
      <c r="F34" s="164">
        <f>_xlfn.XLOOKUP(A34, Table5[Entity_ID], Table5[Entity_Denominator_Value ($B)], "Missing ID")</f>
        <v>29</v>
      </c>
      <c r="G34" s="165">
        <f t="shared" si="0"/>
        <v>0.68965517241379315</v>
      </c>
      <c r="H34" s="166">
        <f>_xlfn.XLOOKUP(A34, Table5[Entity_ID], Table5[Entity_GHG_Emissions (tCO2e)], "Missing ID")</f>
        <v>65686757</v>
      </c>
      <c r="I34" s="166">
        <f>G34*H34</f>
        <v>45301211.724137932</v>
      </c>
      <c r="J34" s="164" t="str">
        <f>IF(Committed_Emissions[[#This Row],[Attribute_Factor (%)]]&lt; 0.0001,"Check Units!","$ Units OK")</f>
        <v>$ Units OK</v>
      </c>
      <c r="K34" s="167" t="str">
        <f>IF(AND(Committed_Emissions[[#This Row],[Entity_ID]]=_xlfn.XLOOKUP(Committed_Emissions[[#This Row],[Entity_ID]],Entity_Master[Entity_ID],Entity_Master[Entity_ID]), Committed_Emissions[[#This Row],[Entity_ID]]=_xlfn.XLOOKUP(Committed_Emissions[[#This Row],[Entity_ID]],Table5[Entity_ID],Table5[Entity_ID])),"✅ Match","❌ ID MISMATCH")</f>
        <v>✅ Match</v>
      </c>
      <c r="L34" s="168" t="str">
        <f>IF(Committed_Emissions[[#This Row],[Attribute_Factor (%)]] &gt; 1, "Check Denominator", "✅ OK")</f>
        <v>✅ OK</v>
      </c>
    </row>
    <row r="35" spans="1:12" x14ac:dyDescent="0.25">
      <c r="A35" s="163" t="s">
        <v>120</v>
      </c>
      <c r="B35" s="140" t="s">
        <v>119</v>
      </c>
      <c r="C35" s="140" t="s">
        <v>40</v>
      </c>
      <c r="D35" s="140" t="s">
        <v>34</v>
      </c>
      <c r="E35" s="164">
        <f>_xlfn.XLOOKUP(A35, Entity_Master[Entity_ID], Entity_Master[Total_Committed ($B)], "Missing ID")</f>
        <v>0.3</v>
      </c>
      <c r="F35" s="164">
        <f>_xlfn.XLOOKUP(A35, Table5[Entity_ID], Table5[Entity_Denominator_Value ($B)], "Missing ID")</f>
        <v>1.5</v>
      </c>
      <c r="G35" s="165">
        <f t="shared" si="0"/>
        <v>0.19999999999999998</v>
      </c>
      <c r="H35" s="166">
        <f>_xlfn.XLOOKUP(A35, Table5[Entity_ID], Table5[Entity_GHG_Emissions (tCO2e)], "Missing ID")</f>
        <v>9967</v>
      </c>
      <c r="I35" s="166">
        <f>G35*H35</f>
        <v>1993.3999999999999</v>
      </c>
      <c r="J35" s="164" t="str">
        <f>IF(Committed_Emissions[[#This Row],[Attribute_Factor (%)]]&lt; 0.0001,"Check Units!","$ Units OK")</f>
        <v>$ Units OK</v>
      </c>
      <c r="K35" s="167" t="str">
        <f>IF(AND(Committed_Emissions[[#This Row],[Entity_ID]]=_xlfn.XLOOKUP(Committed_Emissions[[#This Row],[Entity_ID]],Entity_Master[Entity_ID],Entity_Master[Entity_ID]), Committed_Emissions[[#This Row],[Entity_ID]]=_xlfn.XLOOKUP(Committed_Emissions[[#This Row],[Entity_ID]],Table5[Entity_ID],Table5[Entity_ID])),"✅ Match","❌ ID MISMATCH")</f>
        <v>✅ Match</v>
      </c>
      <c r="L35" s="168" t="str">
        <f>IF(Committed_Emissions[[#This Row],[Attribute_Factor (%)]] &gt; 1, "Check Denominator", "✅ OK")</f>
        <v>✅ OK</v>
      </c>
    </row>
    <row r="36" spans="1:12" x14ac:dyDescent="0.25">
      <c r="A36" s="163" t="s">
        <v>92</v>
      </c>
      <c r="B36" s="140" t="s">
        <v>32</v>
      </c>
      <c r="C36" s="140" t="s">
        <v>19</v>
      </c>
      <c r="D36" s="140" t="s">
        <v>30</v>
      </c>
      <c r="E36" s="164">
        <f>_xlfn.XLOOKUP(A36, Entity_Master[Entity_ID], Entity_Master[Total_Committed ($B)], "Missing ID")</f>
        <v>25</v>
      </c>
      <c r="F36" s="164">
        <f>_xlfn.XLOOKUP(A36, Table5[Entity_ID], Table5[Entity_Denominator_Value ($B)], "Missing ID")</f>
        <v>40.06</v>
      </c>
      <c r="G36" s="165">
        <f t="shared" si="0"/>
        <v>0.62406390414378432</v>
      </c>
      <c r="H36" s="166">
        <f>_xlfn.XLOOKUP(A36, Table5[Entity_ID], Table5[Entity_GHG_Emissions (tCO2e)], "Missing ID")</f>
        <v>110561000</v>
      </c>
      <c r="I36" s="166">
        <f>G36*H36</f>
        <v>68997129.306040943</v>
      </c>
      <c r="J36" s="164" t="str">
        <f>IF(Committed_Emissions[[#This Row],[Attribute_Factor (%)]]&lt; 0.0001,"Check Units!","$ Units OK")</f>
        <v>$ Units OK</v>
      </c>
      <c r="K36" s="167" t="str">
        <f>IF(AND(Committed_Emissions[[#This Row],[Entity_ID]]=_xlfn.XLOOKUP(Committed_Emissions[[#This Row],[Entity_ID]],Entity_Master[Entity_ID],Entity_Master[Entity_ID]), Committed_Emissions[[#This Row],[Entity_ID]]=_xlfn.XLOOKUP(Committed_Emissions[[#This Row],[Entity_ID]],Table5[Entity_ID],Table5[Entity_ID])),"✅ Match","❌ ID MISMATCH")</f>
        <v>✅ Match</v>
      </c>
      <c r="L36" s="168" t="str">
        <f>IF(Committed_Emissions[[#This Row],[Attribute_Factor (%)]] &gt; 1, "Check Denominator", "✅ OK")</f>
        <v>✅ OK</v>
      </c>
    </row>
    <row r="37" spans="1:12" x14ac:dyDescent="0.25">
      <c r="A37" s="163" t="s">
        <v>43</v>
      </c>
      <c r="B37" s="140" t="s">
        <v>18</v>
      </c>
      <c r="C37" s="140" t="s">
        <v>19</v>
      </c>
      <c r="D37" s="140" t="s">
        <v>29</v>
      </c>
      <c r="E37" s="164">
        <f>_xlfn.XLOOKUP(A37, Entity_Master[Entity_ID], Entity_Master[Total_Committed ($B)], "Missing ID")</f>
        <v>4.5</v>
      </c>
      <c r="F37" s="164">
        <f>_xlfn.XLOOKUP(A37, Table5[Entity_ID], Table5[Entity_Denominator_Value ($B)], "Missing ID")</f>
        <v>12.67</v>
      </c>
      <c r="G37" s="165">
        <f t="shared" si="0"/>
        <v>0.35516969218626676</v>
      </c>
      <c r="H37" s="166">
        <f>_xlfn.XLOOKUP(A37, Table5[Entity_ID], Table5[Entity_GHG_Emissions (tCO2e)], "Missing ID")</f>
        <v>231917.96453940001</v>
      </c>
      <c r="I37" s="166">
        <f>G37*H37</f>
        <v>82370.232077924229</v>
      </c>
      <c r="J37" s="164" t="str">
        <f>IF(Committed_Emissions[[#This Row],[Attribute_Factor (%)]]&lt; 0.0001,"Check Units!","$ Units OK")</f>
        <v>$ Units OK</v>
      </c>
      <c r="K37" s="167" t="str">
        <f>IF(AND(Committed_Emissions[[#This Row],[Entity_ID]]=_xlfn.XLOOKUP(Committed_Emissions[[#This Row],[Entity_ID]],Entity_Master[Entity_ID],Entity_Master[Entity_ID]), Committed_Emissions[[#This Row],[Entity_ID]]=_xlfn.XLOOKUP(Committed_Emissions[[#This Row],[Entity_ID]],Table5[Entity_ID],Table5[Entity_ID])),"✅ Match","❌ ID MISMATCH")</f>
        <v>✅ Match</v>
      </c>
      <c r="L37" s="168" t="str">
        <f>IF(Committed_Emissions[[#This Row],[Attribute_Factor (%)]] &gt; 1, "Check Denominator", "✅ OK")</f>
        <v>✅ OK</v>
      </c>
    </row>
    <row r="38" spans="1:12" x14ac:dyDescent="0.25">
      <c r="A38" s="163" t="s">
        <v>47</v>
      </c>
      <c r="B38" s="140" t="s">
        <v>23</v>
      </c>
      <c r="C38" s="140" t="s">
        <v>19</v>
      </c>
      <c r="D38" s="140" t="s">
        <v>64</v>
      </c>
      <c r="E38" s="164">
        <f>_xlfn.XLOOKUP(A38, Entity_Master[Entity_ID], Entity_Master[Total_Committed ($B)], "Missing ID")</f>
        <v>10</v>
      </c>
      <c r="F38" s="164">
        <f>_xlfn.XLOOKUP(A38, Table5[Entity_ID], Table5[Entity_Denominator_Value ($B)], "Missing ID")</f>
        <v>19.067</v>
      </c>
      <c r="G38" s="165">
        <f t="shared" si="0"/>
        <v>0.52446635548329579</v>
      </c>
      <c r="H38" s="166">
        <f>_xlfn.XLOOKUP(A38, Table5[Entity_ID], Table5[Entity_GHG_Emissions (tCO2e)], "Missing ID")</f>
        <v>10724842.155999999</v>
      </c>
      <c r="I38" s="166">
        <f>G38*H38</f>
        <v>5624818.8786909319</v>
      </c>
      <c r="J38" s="164" t="str">
        <f>IF(Committed_Emissions[[#This Row],[Attribute_Factor (%)]]&lt; 0.0001,"Check Units!","$ Units OK")</f>
        <v>$ Units OK</v>
      </c>
      <c r="K38" s="167" t="str">
        <f>IF(AND(Committed_Emissions[[#This Row],[Entity_ID]]=_xlfn.XLOOKUP(Committed_Emissions[[#This Row],[Entity_ID]],Entity_Master[Entity_ID],Entity_Master[Entity_ID]), Committed_Emissions[[#This Row],[Entity_ID]]=_xlfn.XLOOKUP(Committed_Emissions[[#This Row],[Entity_ID]],Table5[Entity_ID],Table5[Entity_ID])),"✅ Match","❌ ID MISMATCH")</f>
        <v>✅ Match</v>
      </c>
      <c r="L38" s="168" t="str">
        <f>IF(Committed_Emissions[[#This Row],[Attribute_Factor (%)]] &gt; 1, "Check Denominator", "✅ OK")</f>
        <v>✅ OK</v>
      </c>
    </row>
    <row r="39" spans="1:12" x14ac:dyDescent="0.25">
      <c r="A39" s="163" t="s">
        <v>48</v>
      </c>
      <c r="B39" s="140" t="s">
        <v>27</v>
      </c>
      <c r="C39" s="140" t="s">
        <v>19</v>
      </c>
      <c r="D39" s="140" t="s">
        <v>6</v>
      </c>
      <c r="E39" s="164">
        <f>_xlfn.XLOOKUP(A39, Entity_Master[Entity_ID], Entity_Master[Total_Committed ($B)], "Missing ID")</f>
        <v>5</v>
      </c>
      <c r="F39" s="164">
        <f>_xlfn.XLOOKUP(A39, Table5[Entity_ID], Table5[Entity_Denominator_Value ($B)], "Missing ID")</f>
        <v>15</v>
      </c>
      <c r="G39" s="165">
        <f t="shared" si="0"/>
        <v>0.33333333333333331</v>
      </c>
      <c r="H39" s="166">
        <f>_xlfn.XLOOKUP(A39, Table5[Entity_ID], Table5[Entity_GHG_Emissions (tCO2e)], "Missing ID")</f>
        <v>474000</v>
      </c>
      <c r="I39" s="166">
        <f>G39*H39</f>
        <v>158000</v>
      </c>
      <c r="J39" s="164" t="str">
        <f>IF(Committed_Emissions[[#This Row],[Attribute_Factor (%)]]&lt; 0.0001,"Check Units!","$ Units OK")</f>
        <v>$ Units OK</v>
      </c>
      <c r="K39" s="167" t="str">
        <f>IF(AND(Committed_Emissions[[#This Row],[Entity_ID]]=_xlfn.XLOOKUP(Committed_Emissions[[#This Row],[Entity_ID]],Entity_Master[Entity_ID],Entity_Master[Entity_ID]), Committed_Emissions[[#This Row],[Entity_ID]]=_xlfn.XLOOKUP(Committed_Emissions[[#This Row],[Entity_ID]],Table5[Entity_ID],Table5[Entity_ID])),"✅ Match","❌ ID MISMATCH")</f>
        <v>✅ Match</v>
      </c>
      <c r="L39" s="168" t="str">
        <f>IF(Committed_Emissions[[#This Row],[Attribute_Factor (%)]] &gt; 1, "Check Denominator", "✅ OK")</f>
        <v>✅ OK</v>
      </c>
    </row>
    <row r="40" spans="1:12" x14ac:dyDescent="0.25">
      <c r="A40" s="163" t="s">
        <v>44</v>
      </c>
      <c r="B40" s="140" t="s">
        <v>39</v>
      </c>
      <c r="C40" s="140" t="s">
        <v>19</v>
      </c>
      <c r="D40" s="140" t="s">
        <v>37</v>
      </c>
      <c r="E40" s="164">
        <f>_xlfn.XLOOKUP(A40, Entity_Master[Entity_ID], Entity_Master[Total_Committed ($B)], "Missing ID")</f>
        <v>5</v>
      </c>
      <c r="F40" s="164">
        <f>_xlfn.XLOOKUP(A40, Table5[Entity_ID], Table5[Entity_Denominator_Value ($B)], "Missing ID")</f>
        <v>16</v>
      </c>
      <c r="G40" s="165">
        <f t="shared" si="0"/>
        <v>0.3125</v>
      </c>
      <c r="H40" s="166">
        <f>_xlfn.XLOOKUP(A40, Table5[Entity_ID], Table5[Entity_GHG_Emissions (tCO2e)], "Missing ID")</f>
        <v>1224999.9999999998</v>
      </c>
      <c r="I40" s="166">
        <f>G40*H40</f>
        <v>382812.49999999994</v>
      </c>
      <c r="J40" s="164" t="str">
        <f>IF(Committed_Emissions[[#This Row],[Attribute_Factor (%)]]&lt; 0.0001,"Check Units!","$ Units OK")</f>
        <v>$ Units OK</v>
      </c>
      <c r="K40" s="167" t="str">
        <f>IF(AND(Committed_Emissions[[#This Row],[Entity_ID]]=_xlfn.XLOOKUP(Committed_Emissions[[#This Row],[Entity_ID]],Entity_Master[Entity_ID],Entity_Master[Entity_ID]), Committed_Emissions[[#This Row],[Entity_ID]]=_xlfn.XLOOKUP(Committed_Emissions[[#This Row],[Entity_ID]],Table5[Entity_ID],Table5[Entity_ID])),"✅ Match","❌ ID MISMATCH")</f>
        <v>✅ Match</v>
      </c>
      <c r="L40" s="168" t="str">
        <f>IF(Committed_Emissions[[#This Row],[Attribute_Factor (%)]] &gt; 1, "Check Denominator", "✅ OK")</f>
        <v>✅ OK</v>
      </c>
    </row>
    <row r="41" spans="1:12" x14ac:dyDescent="0.25">
      <c r="A41" s="163" t="s">
        <v>45</v>
      </c>
      <c r="B41" s="140" t="s">
        <v>20</v>
      </c>
      <c r="C41" s="140" t="s">
        <v>19</v>
      </c>
      <c r="D41" s="140" t="s">
        <v>4</v>
      </c>
      <c r="E41" s="164">
        <f>_xlfn.XLOOKUP(A41, Entity_Master[Entity_ID], Entity_Master[Total_Committed ($B)], "Missing ID")</f>
        <v>35</v>
      </c>
      <c r="F41" s="164">
        <f>_xlfn.XLOOKUP(A41, Table5[Entity_ID], Table5[Entity_Denominator_Value ($B)], "Missing ID")</f>
        <v>232.26</v>
      </c>
      <c r="G41" s="165">
        <f t="shared" si="0"/>
        <v>0.15069318866787221</v>
      </c>
      <c r="H41" s="166">
        <f>_xlfn.XLOOKUP(A41, Table5[Entity_ID], Table5[Entity_GHG_Emissions (tCO2e)], "Missing ID")</f>
        <v>593187.44999999995</v>
      </c>
      <c r="I41" s="166">
        <f>G41*H41</f>
        <v>89389.308318264011</v>
      </c>
      <c r="J41" s="164" t="str">
        <f>IF(Committed_Emissions[[#This Row],[Attribute_Factor (%)]]&lt; 0.0001,"Check Units!","$ Units OK")</f>
        <v>$ Units OK</v>
      </c>
      <c r="K41" s="167" t="str">
        <f>IF(AND(Committed_Emissions[[#This Row],[Entity_ID]]=_xlfn.XLOOKUP(Committed_Emissions[[#This Row],[Entity_ID]],Entity_Master[Entity_ID],Entity_Master[Entity_ID]), Committed_Emissions[[#This Row],[Entity_ID]]=_xlfn.XLOOKUP(Committed_Emissions[[#This Row],[Entity_ID]],Table5[Entity_ID],Table5[Entity_ID])),"✅ Match","❌ ID MISMATCH")</f>
        <v>✅ Match</v>
      </c>
      <c r="L41" s="168" t="str">
        <f>IF(Committed_Emissions[[#This Row],[Attribute_Factor (%)]] &gt; 1, "Check Denominator", "✅ OK")</f>
        <v>✅ OK</v>
      </c>
    </row>
    <row r="42" spans="1:12" x14ac:dyDescent="0.25">
      <c r="A42" s="163" t="s">
        <v>46</v>
      </c>
      <c r="B42" s="140" t="s">
        <v>21</v>
      </c>
      <c r="C42" s="140" t="s">
        <v>19</v>
      </c>
      <c r="D42" s="140" t="s">
        <v>5</v>
      </c>
      <c r="E42" s="164">
        <f>_xlfn.XLOOKUP(A42, Entity_Master[Entity_ID], Entity_Master[Total_Committed ($B)], "Missing ID")</f>
        <v>20</v>
      </c>
      <c r="F42" s="164">
        <f>_xlfn.XLOOKUP(A42, Table5[Entity_ID], Table5[Entity_Denominator_Value ($B)], "Missing ID")</f>
        <v>35.630000000000003</v>
      </c>
      <c r="G42" s="165">
        <f t="shared" si="0"/>
        <v>0.56132472635419584</v>
      </c>
      <c r="H42" s="166">
        <f>_xlfn.XLOOKUP(A42, Table5[Entity_ID], Table5[Entity_GHG_Emissions (tCO2e)], "Missing ID")</f>
        <v>92100000</v>
      </c>
      <c r="I42" s="166">
        <f>G42*H42</f>
        <v>51698007.297221437</v>
      </c>
      <c r="J42" s="164" t="str">
        <f>IF(Committed_Emissions[[#This Row],[Attribute_Factor (%)]]&lt; 0.0001,"Check Units!","$ Units OK")</f>
        <v>$ Units OK</v>
      </c>
      <c r="K42" s="167" t="str">
        <f>IF(AND(Committed_Emissions[[#This Row],[Entity_ID]]=_xlfn.XLOOKUP(Committed_Emissions[[#This Row],[Entity_ID]],Entity_Master[Entity_ID],Entity_Master[Entity_ID]), Committed_Emissions[[#This Row],[Entity_ID]]=_xlfn.XLOOKUP(Committed_Emissions[[#This Row],[Entity_ID]],Table5[Entity_ID],Table5[Entity_ID])),"✅ Match","❌ ID MISMATCH")</f>
        <v>✅ Match</v>
      </c>
      <c r="L42" s="168" t="str">
        <f>IF(Committed_Emissions[[#This Row],[Attribute_Factor (%)]] &gt; 1, "Check Denominator", "✅ OK")</f>
        <v>✅ OK</v>
      </c>
    </row>
    <row r="43" spans="1:12" x14ac:dyDescent="0.25">
      <c r="A43" s="163" t="s">
        <v>62</v>
      </c>
      <c r="B43" s="140" t="s">
        <v>35</v>
      </c>
      <c r="C43" s="140" t="s">
        <v>36</v>
      </c>
      <c r="D43" s="140" t="s">
        <v>34</v>
      </c>
      <c r="E43" s="164">
        <f>_xlfn.XLOOKUP(A43, Entity_Master[Entity_ID], Entity_Master[Total_Committed ($B)], "Missing ID")</f>
        <v>0.75</v>
      </c>
      <c r="F43" s="164">
        <f>_xlfn.XLOOKUP(A43, Table5[Entity_ID], Table5[Entity_Denominator_Value ($B)], "Missing ID")</f>
        <v>1.875</v>
      </c>
      <c r="G43" s="165">
        <f t="shared" si="0"/>
        <v>0.4</v>
      </c>
      <c r="H43" s="166">
        <f>_xlfn.XLOOKUP(A43, Table5[Entity_ID], Table5[Entity_GHG_Emissions (tCO2e)], "Missing ID")</f>
        <v>4724</v>
      </c>
      <c r="I43" s="166">
        <f>G43*H43</f>
        <v>1889.6000000000001</v>
      </c>
      <c r="J43" s="164" t="str">
        <f>IF(Committed_Emissions[[#This Row],[Attribute_Factor (%)]]&lt; 0.0001,"Check Units!","$ Units OK")</f>
        <v>$ Units OK</v>
      </c>
      <c r="K43" s="167" t="str">
        <f>IF(AND(Committed_Emissions[[#This Row],[Entity_ID]]=_xlfn.XLOOKUP(Committed_Emissions[[#This Row],[Entity_ID]],Entity_Master[Entity_ID],Entity_Master[Entity_ID]), Committed_Emissions[[#This Row],[Entity_ID]]=_xlfn.XLOOKUP(Committed_Emissions[[#This Row],[Entity_ID]],Table5[Entity_ID],Table5[Entity_ID])),"✅ Match","❌ ID MISMATCH")</f>
        <v>✅ Match</v>
      </c>
      <c r="L43" s="168" t="str">
        <f>IF(Committed_Emissions[[#This Row],[Attribute_Factor (%)]] &gt; 1, "Check Denominator", "✅ OK")</f>
        <v>✅ OK</v>
      </c>
    </row>
    <row r="44" spans="1:12" x14ac:dyDescent="0.25">
      <c r="A44" s="163" t="s">
        <v>54</v>
      </c>
      <c r="B44" s="140" t="s">
        <v>24</v>
      </c>
      <c r="C44" s="140" t="s">
        <v>2</v>
      </c>
      <c r="D44" s="140" t="s">
        <v>6</v>
      </c>
      <c r="E44" s="164">
        <f>_xlfn.XLOOKUP(A44, Entity_Master[Entity_ID], Entity_Master[Total_Committed ($B)], "Missing ID")</f>
        <v>30</v>
      </c>
      <c r="F44" s="164">
        <f>_xlfn.XLOOKUP(A44, Table5[Entity_ID], Table5[Entity_Denominator_Value ($B)], "Missing ID")</f>
        <v>35</v>
      </c>
      <c r="G44" s="165">
        <f t="shared" si="0"/>
        <v>0.8571428571428571</v>
      </c>
      <c r="H44" s="166">
        <f>_xlfn.XLOOKUP(A44, Table5[Entity_ID], Table5[Entity_GHG_Emissions (tCO2e)], "Missing ID")</f>
        <v>579470</v>
      </c>
      <c r="I44" s="166">
        <f>G44*H44</f>
        <v>496688.57142857142</v>
      </c>
      <c r="J44" s="164" t="str">
        <f>IF(Committed_Emissions[[#This Row],[Attribute_Factor (%)]]&lt; 0.0001,"Check Units!","$ Units OK")</f>
        <v>$ Units OK</v>
      </c>
      <c r="K44" s="167" t="str">
        <f>IF(AND(Committed_Emissions[[#This Row],[Entity_ID]]=_xlfn.XLOOKUP(Committed_Emissions[[#This Row],[Entity_ID]],Entity_Master[Entity_ID],Entity_Master[Entity_ID]), Committed_Emissions[[#This Row],[Entity_ID]]=_xlfn.XLOOKUP(Committed_Emissions[[#This Row],[Entity_ID]],Table5[Entity_ID],Table5[Entity_ID])),"✅ Match","❌ ID MISMATCH")</f>
        <v>✅ Match</v>
      </c>
      <c r="L44" s="168" t="str">
        <f>IF(Committed_Emissions[[#This Row],[Attribute_Factor (%)]] &gt; 1, "Check Denominator", "✅ OK")</f>
        <v>✅ OK</v>
      </c>
    </row>
    <row r="45" spans="1:12" x14ac:dyDescent="0.25">
      <c r="A45" s="163" t="s">
        <v>42</v>
      </c>
      <c r="B45" s="140" t="s">
        <v>12</v>
      </c>
      <c r="C45" s="140" t="s">
        <v>0</v>
      </c>
      <c r="D45" s="140" t="s">
        <v>3</v>
      </c>
      <c r="E45" s="164">
        <f>_xlfn.XLOOKUP(A45, Entity_Master[Entity_ID], Entity_Master[Total_Committed ($B)], "Missing ID")</f>
        <v>300</v>
      </c>
      <c r="F45" s="164">
        <f>_xlfn.XLOOKUP(A45, Table5[Entity_ID], Table5[Entity_Denominator_Value ($B)], "Missing ID")</f>
        <v>6320</v>
      </c>
      <c r="G45" s="165">
        <f t="shared" si="0"/>
        <v>4.746835443037975E-2</v>
      </c>
      <c r="H45" s="166">
        <f>_xlfn.XLOOKUP(A45, Table5[Entity_ID], Table5[Entity_GHG_Emissions (tCO2e)], "Missing ID")</f>
        <v>572320000</v>
      </c>
      <c r="I45" s="166">
        <f>G45*H45</f>
        <v>27167088.607594937</v>
      </c>
      <c r="J45" s="164" t="str">
        <f>IF(Committed_Emissions[[#This Row],[Attribute_Factor (%)]]&lt; 0.0001,"Check Units!","$ Units OK")</f>
        <v>$ Units OK</v>
      </c>
      <c r="K45" s="167" t="str">
        <f>IF(AND(Committed_Emissions[[#This Row],[Entity_ID]]=_xlfn.XLOOKUP(Committed_Emissions[[#This Row],[Entity_ID]],Entity_Master[Entity_ID],Entity_Master[Entity_ID]), Committed_Emissions[[#This Row],[Entity_ID]]=_xlfn.XLOOKUP(Committed_Emissions[[#This Row],[Entity_ID]],Table5[Entity_ID],Table5[Entity_ID])),"✅ Match","❌ ID MISMATCH")</f>
        <v>✅ Match</v>
      </c>
      <c r="L45" s="168" t="str">
        <f>IF(Committed_Emissions[[#This Row],[Attribute_Factor (%)]] &gt; 1, "Check Denominator", "✅ OK")</f>
        <v>✅ OK</v>
      </c>
    </row>
    <row r="46" spans="1:12" x14ac:dyDescent="0.25">
      <c r="A46" s="163" t="s">
        <v>97</v>
      </c>
      <c r="B46" s="140" t="s">
        <v>15</v>
      </c>
      <c r="C46" s="140" t="s">
        <v>95</v>
      </c>
      <c r="D46" s="140" t="s">
        <v>3</v>
      </c>
      <c r="E46" s="164">
        <f>_xlfn.XLOOKUP(A46, Entity_Master[Entity_ID], Entity_Master[Total_Committed ($B)], "Missing ID")</f>
        <v>30</v>
      </c>
      <c r="F46" s="164">
        <f>_xlfn.XLOOKUP(A46, Table5[Entity_ID], Table5[Entity_Denominator_Value ($B)], "Missing ID")</f>
        <v>1178</v>
      </c>
      <c r="G46" s="165">
        <f t="shared" si="0"/>
        <v>2.5466893039049237E-2</v>
      </c>
      <c r="H46" s="166">
        <f>_xlfn.XLOOKUP(A46, Table5[Entity_ID], Table5[Entity_GHG_Emissions (tCO2e)], "Missing ID")</f>
        <v>24560000</v>
      </c>
      <c r="I46" s="166">
        <f>G46*H46</f>
        <v>625466.89303904923</v>
      </c>
      <c r="J46" s="164" t="str">
        <f>IF(Committed_Emissions[[#This Row],[Attribute_Factor (%)]]&lt; 0.0001,"Check Units!","$ Units OK")</f>
        <v>$ Units OK</v>
      </c>
      <c r="K46" s="167" t="str">
        <f>IF(AND(Committed_Emissions[[#This Row],[Entity_ID]]=_xlfn.XLOOKUP(Committed_Emissions[[#This Row],[Entity_ID]],Entity_Master[Entity_ID],Entity_Master[Entity_ID]), Committed_Emissions[[#This Row],[Entity_ID]]=_xlfn.XLOOKUP(Committed_Emissions[[#This Row],[Entity_ID]],Table5[Entity_ID],Table5[Entity_ID])),"✅ Match","❌ ID MISMATCH")</f>
        <v>✅ Match</v>
      </c>
      <c r="L46" s="168" t="str">
        <f>IF(Committed_Emissions[[#This Row],[Attribute_Factor (%)]] &gt; 1, "Check Denominator", "✅ OK")</f>
        <v>✅ OK</v>
      </c>
    </row>
    <row r="47" spans="1:12" x14ac:dyDescent="0.25">
      <c r="A47" s="163" t="s">
        <v>98</v>
      </c>
      <c r="B47" s="140" t="s">
        <v>14</v>
      </c>
      <c r="C47" s="140" t="s">
        <v>95</v>
      </c>
      <c r="D47" s="140" t="s">
        <v>3</v>
      </c>
      <c r="E47" s="164">
        <f>_xlfn.XLOOKUP(A47, Entity_Master[Entity_ID], Entity_Master[Total_Committed ($B)], "Missing ID")</f>
        <v>70</v>
      </c>
      <c r="F47" s="164">
        <f>_xlfn.XLOOKUP(A47, Table5[Entity_ID], Table5[Entity_Denominator_Value ($B)], "Missing ID")</f>
        <v>4296</v>
      </c>
      <c r="G47" s="165">
        <f t="shared" si="0"/>
        <v>1.6294227188081937E-2</v>
      </c>
      <c r="H47" s="166">
        <f>_xlfn.XLOOKUP(A47, Table5[Entity_ID], Table5[Entity_GHG_Emissions (tCO2e)], "Missing ID")</f>
        <v>360400000</v>
      </c>
      <c r="I47" s="166">
        <f>G47*H47</f>
        <v>5872439.4785847301</v>
      </c>
      <c r="J47" s="164" t="str">
        <f>IF(Committed_Emissions[[#This Row],[Attribute_Factor (%)]]&lt; 0.0001,"Check Units!","$ Units OK")</f>
        <v>$ Units OK</v>
      </c>
      <c r="K47" s="167" t="str">
        <f>IF(AND(Committed_Emissions[[#This Row],[Entity_ID]]=_xlfn.XLOOKUP(Committed_Emissions[[#This Row],[Entity_ID]],Entity_Master[Entity_ID],Entity_Master[Entity_ID]), Committed_Emissions[[#This Row],[Entity_ID]]=_xlfn.XLOOKUP(Committed_Emissions[[#This Row],[Entity_ID]],Table5[Entity_ID],Table5[Entity_ID])),"✅ Match","❌ ID MISMATCH")</f>
        <v>✅ Match</v>
      </c>
      <c r="L47" s="168" t="str">
        <f>IF(Committed_Emissions[[#This Row],[Attribute_Factor (%)]] &gt; 1, "Check Denominator", "✅ OK")</f>
        <v>✅ OK</v>
      </c>
    </row>
    <row r="48" spans="1:12" x14ac:dyDescent="0.25">
      <c r="A48" s="163" t="s">
        <v>55</v>
      </c>
      <c r="B48" s="140" t="s">
        <v>25</v>
      </c>
      <c r="C48" s="140" t="s">
        <v>26</v>
      </c>
      <c r="D48" s="140" t="s">
        <v>6</v>
      </c>
      <c r="E48" s="164">
        <f>_xlfn.XLOOKUP(A48, Entity_Master[Entity_ID], Entity_Master[Total_Committed ($B)], "Missing ID")</f>
        <v>10</v>
      </c>
      <c r="F48" s="164">
        <f>_xlfn.XLOOKUP(A48, Table5[Entity_ID], Table5[Entity_Denominator_Value ($B)], "Missing ID")</f>
        <v>15</v>
      </c>
      <c r="G48" s="165">
        <f t="shared" si="0"/>
        <v>0.66666666666666663</v>
      </c>
      <c r="H48" s="166">
        <f>_xlfn.XLOOKUP(A48, Table5[Entity_ID], Table5[Entity_GHG_Emissions (tCO2e)], "Missing ID")</f>
        <v>315000</v>
      </c>
      <c r="I48" s="166">
        <f>G48*H48</f>
        <v>210000</v>
      </c>
      <c r="J48" s="164" t="str">
        <f>IF(Committed_Emissions[[#This Row],[Attribute_Factor (%)]]&lt; 0.0001,"Check Units!","$ Units OK")</f>
        <v>$ Units OK</v>
      </c>
      <c r="K48" s="167" t="str">
        <f>IF(AND(Committed_Emissions[[#This Row],[Entity_ID]]=_xlfn.XLOOKUP(Committed_Emissions[[#This Row],[Entity_ID]],Entity_Master[Entity_ID],Entity_Master[Entity_ID]), Committed_Emissions[[#This Row],[Entity_ID]]=_xlfn.XLOOKUP(Committed_Emissions[[#This Row],[Entity_ID]],Table5[Entity_ID],Table5[Entity_ID])),"✅ Match","❌ ID MISMATCH")</f>
        <v>✅ Match</v>
      </c>
      <c r="L48" s="168" t="str">
        <f>IF(Committed_Emissions[[#This Row],[Attribute_Factor (%)]] &gt; 1, "Check Denominator", "✅ OK")</f>
        <v>✅ OK</v>
      </c>
    </row>
    <row r="49" spans="1:12" ht="15.75" thickBot="1" x14ac:dyDescent="0.3">
      <c r="A49" s="36" t="s">
        <v>158</v>
      </c>
      <c r="B49" s="36"/>
      <c r="C49" s="37"/>
      <c r="D49" s="37"/>
      <c r="E49" s="38"/>
      <c r="F49" s="38"/>
      <c r="G49" s="38"/>
      <c r="H49" s="41" t="s">
        <v>160</v>
      </c>
      <c r="I49" s="40">
        <f>SUM(I31:I48)</f>
        <v>248481152.74482101</v>
      </c>
      <c r="J49" s="38"/>
      <c r="K49" s="38"/>
      <c r="L49" s="38" t="str">
        <f>IF(Committed_Emissions[[#This Row],[Attribute_Factor (%)]] &gt; 1, "Check Denominator", "✅ OK")</f>
        <v>✅ OK</v>
      </c>
    </row>
  </sheetData>
  <mergeCells count="8">
    <mergeCell ref="J3:L3"/>
    <mergeCell ref="H3:I3"/>
    <mergeCell ref="A3:D3"/>
    <mergeCell ref="E3:G3"/>
    <mergeCell ref="A29:D29"/>
    <mergeCell ref="E29:G29"/>
    <mergeCell ref="H29:I29"/>
    <mergeCell ref="J29:L29"/>
  </mergeCells>
  <conditionalFormatting sqref="G5:G22">
    <cfRule type="cellIs" dxfId="1" priority="2" operator="greaterThan">
      <formula>1</formula>
    </cfRule>
  </conditionalFormatting>
  <conditionalFormatting sqref="G31:G48">
    <cfRule type="cellIs" dxfId="0" priority="1" operator="greaterThan">
      <formula>1</formula>
    </cfRule>
  </conditionalFormatting>
  <dataValidations count="3">
    <dataValidation type="list" allowBlank="1" showInputMessage="1" showErrorMessage="1" sqref="C31:C48" xr:uid="{C5115C0F-BF5B-4730-85C5-EEBF6475F539}">
      <formula1>INDIRECT("Asset_Class[Asset_Class]")</formula1>
    </dataValidation>
    <dataValidation type="list" allowBlank="1" showInputMessage="1" showErrorMessage="1" sqref="D5:D22 D31:D48" xr:uid="{6F029F7E-7519-4D0F-9359-E9619F8C12F1}">
      <formula1>INDIRECT("Sectors[Sectors]")</formula1>
    </dataValidation>
    <dataValidation type="list" allowBlank="1" showInputMessage="1" showErrorMessage="1" sqref="C5:C22" xr:uid="{D264DA37-E02F-481D-9C10-595980A8E9E6}">
      <formula1>INDIRECT("Asset_Class[Asset_Class]")</formula1>
    </dataValidation>
  </dataValidation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5AD2D-0D66-43CE-A57B-336E52A29768}">
  <dimension ref="A1:J17"/>
  <sheetViews>
    <sheetView workbookViewId="0">
      <selection activeCell="C30" sqref="C30"/>
    </sheetView>
  </sheetViews>
  <sheetFormatPr defaultRowHeight="15" x14ac:dyDescent="0.25"/>
  <cols>
    <col min="1" max="1" width="25.7109375" bestFit="1" customWidth="1"/>
    <col min="2" max="2" width="25.85546875" bestFit="1" customWidth="1"/>
    <col min="3" max="3" width="24.28515625" bestFit="1" customWidth="1"/>
    <col min="4" max="4" width="18" bestFit="1" customWidth="1"/>
    <col min="5" max="5" width="14.85546875" customWidth="1"/>
    <col min="6" max="6" width="13.140625" customWidth="1"/>
    <col min="7" max="7" width="15.140625" customWidth="1"/>
    <col min="8" max="8" width="22.140625" customWidth="1"/>
    <col min="9" max="9" width="45" bestFit="1" customWidth="1"/>
    <col min="10" max="10" width="29.140625" customWidth="1"/>
  </cols>
  <sheetData>
    <row r="1" spans="1:10" x14ac:dyDescent="0.25">
      <c r="A1" s="9" t="s">
        <v>238</v>
      </c>
    </row>
    <row r="3" spans="1:10" x14ac:dyDescent="0.25">
      <c r="A3" s="174" t="s">
        <v>69</v>
      </c>
      <c r="B3" s="174" t="s">
        <v>70</v>
      </c>
      <c r="C3" s="175" t="s">
        <v>9</v>
      </c>
      <c r="D3" s="175" t="s">
        <v>1</v>
      </c>
      <c r="E3" s="176" t="s">
        <v>109</v>
      </c>
      <c r="F3" s="176" t="s">
        <v>100</v>
      </c>
      <c r="G3" s="176" t="s">
        <v>101</v>
      </c>
      <c r="H3" s="176" t="s">
        <v>104</v>
      </c>
      <c r="I3" s="176" t="s">
        <v>103</v>
      </c>
      <c r="J3" s="176" t="s">
        <v>113</v>
      </c>
    </row>
    <row r="4" spans="1:10" x14ac:dyDescent="0.25">
      <c r="A4" s="45" t="s">
        <v>43</v>
      </c>
      <c r="B4" s="46" t="s">
        <v>18</v>
      </c>
      <c r="C4" s="46" t="s">
        <v>19</v>
      </c>
      <c r="D4" s="46" t="s">
        <v>29</v>
      </c>
      <c r="E4" s="47">
        <f t="shared" ref="E4" si="0">757901844.9/1000000000</f>
        <v>0.75790184490000001</v>
      </c>
      <c r="F4" s="13">
        <v>0.30599999999999999</v>
      </c>
      <c r="G4" s="13" t="s">
        <v>102</v>
      </c>
      <c r="H4" s="49">
        <f>Table6[[#This Row],[Revenue $B]]*Table6[[#This Row],[EEIO Factor]]*1000000000/1000</f>
        <v>231917.96453940001</v>
      </c>
      <c r="I4" s="14" t="s">
        <v>105</v>
      </c>
      <c r="J4" t="str">
        <f>IF(Table6[[#This Row],[EEIO Factor]] &gt; 1.5, "High Intensity: Verify Units", "Normal Range")</f>
        <v>Normal Range</v>
      </c>
    </row>
    <row r="5" spans="1:10" x14ac:dyDescent="0.25">
      <c r="A5" s="15" t="s">
        <v>47</v>
      </c>
      <c r="B5" s="16" t="s">
        <v>23</v>
      </c>
      <c r="C5" s="16" t="s">
        <v>19</v>
      </c>
      <c r="D5" s="16" t="s">
        <v>64</v>
      </c>
      <c r="E5" s="19">
        <f>7693574000/1000000000</f>
        <v>7.6935739999999999</v>
      </c>
      <c r="F5" s="17">
        <v>1.3939999999999999</v>
      </c>
      <c r="G5" s="17" t="s">
        <v>110</v>
      </c>
      <c r="H5" s="48">
        <f>Table6[[#This Row],[Revenue $B]]*Table6[[#This Row],[EEIO Factor]]*1000000000/1000</f>
        <v>10724842.155999999</v>
      </c>
      <c r="I5" s="14" t="s">
        <v>105</v>
      </c>
      <c r="J5" t="str">
        <f>IF(Table6[[#This Row],[EEIO Factor]] &gt; 1.5, "High Intensity: Verify Units", "Normal Range")</f>
        <v>Normal Range</v>
      </c>
    </row>
    <row r="6" spans="1:10" x14ac:dyDescent="0.25">
      <c r="A6" s="15" t="s">
        <v>44</v>
      </c>
      <c r="B6" s="16" t="s">
        <v>39</v>
      </c>
      <c r="C6" s="16" t="s">
        <v>19</v>
      </c>
      <c r="D6" s="16" t="s">
        <v>37</v>
      </c>
      <c r="E6" s="19">
        <f>3500000000/1000000000</f>
        <v>3.5</v>
      </c>
      <c r="F6" s="17">
        <v>0.35</v>
      </c>
      <c r="G6" s="17"/>
      <c r="H6" s="48">
        <f>Table6[[#This Row],[Revenue $B]]*Table6[[#This Row],[EEIO Factor]]*1000000000/1000</f>
        <v>1224999.9999999998</v>
      </c>
      <c r="I6" s="14" t="s">
        <v>105</v>
      </c>
      <c r="J6" t="str">
        <f>IF(Table6[[#This Row],[EEIO Factor]] &gt; 1.5, "High Intensity: Verify Units", "Normal Range")</f>
        <v>Normal Range</v>
      </c>
    </row>
    <row r="10" spans="1:10" x14ac:dyDescent="0.25">
      <c r="A10" s="9" t="s">
        <v>239</v>
      </c>
    </row>
    <row r="11" spans="1:10" ht="15.75" thickBot="1" x14ac:dyDescent="0.3"/>
    <row r="12" spans="1:10" ht="15.75" thickBot="1" x14ac:dyDescent="0.3">
      <c r="A12" s="177" t="s">
        <v>69</v>
      </c>
      <c r="B12" s="178" t="s">
        <v>70</v>
      </c>
      <c r="C12" s="178" t="s">
        <v>9</v>
      </c>
      <c r="D12" s="178" t="s">
        <v>1</v>
      </c>
      <c r="E12" s="179" t="s">
        <v>127</v>
      </c>
      <c r="F12" s="179" t="s">
        <v>137</v>
      </c>
      <c r="G12" s="179" t="s">
        <v>132</v>
      </c>
      <c r="H12" s="179" t="s">
        <v>133</v>
      </c>
      <c r="I12" s="179" t="s">
        <v>135</v>
      </c>
      <c r="J12" s="179" t="s">
        <v>103</v>
      </c>
    </row>
    <row r="13" spans="1:10" ht="15.75" thickBot="1" x14ac:dyDescent="0.3">
      <c r="A13" s="4" t="s">
        <v>52</v>
      </c>
      <c r="B13" s="3" t="s">
        <v>38</v>
      </c>
      <c r="C13" s="3" t="s">
        <v>17</v>
      </c>
      <c r="D13" s="3" t="s">
        <v>37</v>
      </c>
      <c r="E13" s="22" t="s">
        <v>128</v>
      </c>
      <c r="F13">
        <v>21623000000</v>
      </c>
      <c r="G13">
        <v>1.792</v>
      </c>
      <c r="H13" s="23" t="s">
        <v>134</v>
      </c>
      <c r="I13">
        <f>F13*G13/1000</f>
        <v>38748416</v>
      </c>
      <c r="J13" s="14" t="s">
        <v>105</v>
      </c>
    </row>
    <row r="14" spans="1:10" ht="15.75" thickBot="1" x14ac:dyDescent="0.3">
      <c r="A14" s="4" t="s">
        <v>52</v>
      </c>
      <c r="B14" s="3" t="s">
        <v>38</v>
      </c>
      <c r="C14" s="3" t="s">
        <v>17</v>
      </c>
      <c r="D14" s="3" t="s">
        <v>37</v>
      </c>
      <c r="E14" s="22" t="s">
        <v>129</v>
      </c>
      <c r="F14">
        <v>5781000000</v>
      </c>
      <c r="G14">
        <v>1.792</v>
      </c>
      <c r="H14" s="23" t="s">
        <v>134</v>
      </c>
      <c r="I14">
        <f>F14*G14/1000</f>
        <v>10359552</v>
      </c>
      <c r="J14" s="14" t="s">
        <v>105</v>
      </c>
    </row>
    <row r="15" spans="1:10" ht="15.75" thickBot="1" x14ac:dyDescent="0.3">
      <c r="A15" s="4" t="s">
        <v>52</v>
      </c>
      <c r="B15" s="3" t="s">
        <v>38</v>
      </c>
      <c r="C15" s="3" t="s">
        <v>17</v>
      </c>
      <c r="D15" s="3" t="s">
        <v>37</v>
      </c>
      <c r="E15" s="22" t="s">
        <v>130</v>
      </c>
      <c r="F15">
        <v>16873000000</v>
      </c>
      <c r="G15">
        <v>0.66300000000000003</v>
      </c>
      <c r="H15" s="23" t="s">
        <v>134</v>
      </c>
      <c r="I15">
        <f>F15*G15/1000</f>
        <v>11186799</v>
      </c>
      <c r="J15" s="14" t="s">
        <v>105</v>
      </c>
    </row>
    <row r="16" spans="1:10" ht="15.75" thickBot="1" x14ac:dyDescent="0.3">
      <c r="A16" s="4" t="s">
        <v>52</v>
      </c>
      <c r="B16" s="3" t="s">
        <v>38</v>
      </c>
      <c r="C16" s="3" t="s">
        <v>17</v>
      </c>
      <c r="D16" s="3" t="s">
        <v>37</v>
      </c>
      <c r="E16" s="22" t="s">
        <v>131</v>
      </c>
      <c r="F16">
        <v>9930000000</v>
      </c>
      <c r="G16">
        <v>0.54300000000000004</v>
      </c>
      <c r="H16" s="23" t="s">
        <v>134</v>
      </c>
      <c r="I16">
        <f>F16*G16/1000</f>
        <v>5391990</v>
      </c>
      <c r="J16" s="14" t="s">
        <v>105</v>
      </c>
    </row>
    <row r="17" spans="1:9" x14ac:dyDescent="0.25">
      <c r="A17" s="24" t="s">
        <v>136</v>
      </c>
      <c r="B17" s="9"/>
      <c r="C17" s="9"/>
      <c r="D17" s="9"/>
      <c r="E17" s="9"/>
      <c r="F17" s="9">
        <f>SUM(F13:F16)</f>
        <v>54207000000</v>
      </c>
      <c r="G17" s="9"/>
      <c r="H17" s="9"/>
      <c r="I17" s="9">
        <f>SUM(I13:I16)</f>
        <v>65686757</v>
      </c>
    </row>
  </sheetData>
  <dataValidations count="3">
    <dataValidation type="list" allowBlank="1" showInputMessage="1" showErrorMessage="1" sqref="C13:C16" xr:uid="{290A94F6-D95B-440D-9C91-CFA6141F080B}">
      <formula1>INDIRECT("Asset_Class_Table[Asset_Class]")</formula1>
    </dataValidation>
    <dataValidation type="list" allowBlank="1" showInputMessage="1" showErrorMessage="1" sqref="D13:D16 D4:D6" xr:uid="{6AABC011-EA93-4F9C-B0BE-DF9F39510C7A}">
      <formula1>INDIRECT("Sectors[Sectors]")</formula1>
    </dataValidation>
    <dataValidation type="list" allowBlank="1" showInputMessage="1" showErrorMessage="1" sqref="C4:C6" xr:uid="{2091A86C-6E12-440B-AA5C-818603D60FA2}">
      <formula1>INDIRECT("Asset_Class[Asset_Class]")</formula1>
    </dataValidation>
  </dataValidation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B866C-8102-4D37-91A2-EAC6690B88ED}">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01_Executive_Summary</vt:lpstr>
      <vt:lpstr>02_Firm_Parameters</vt:lpstr>
      <vt:lpstr>03_Entity_Master</vt:lpstr>
      <vt:lpstr>04_Legal_Entity_Data</vt:lpstr>
      <vt:lpstr>05_PCAF_Engine</vt:lpstr>
      <vt:lpstr>06_Technical_Appendix</vt:lpstr>
      <vt:lpstr>07_Reconciliation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Yathiraj</dc:creator>
  <cp:lastModifiedBy>Pranav Yathiraj</cp:lastModifiedBy>
  <dcterms:created xsi:type="dcterms:W3CDTF">2026-02-24T02:14:41Z</dcterms:created>
  <dcterms:modified xsi:type="dcterms:W3CDTF">2026-02-25T06:10:39Z</dcterms:modified>
</cp:coreProperties>
</file>